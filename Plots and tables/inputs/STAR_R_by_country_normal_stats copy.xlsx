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ildgruberkatharina/PycharmProjects/pythonOECD_ODA/"/>
    </mc:Choice>
  </mc:AlternateContent>
  <xr:revisionPtr revIDLastSave="0" documentId="13_ncr:1_{1482458D-A595-654F-A11C-1855399C3CC2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N2" i="1"/>
  <c r="M2" i="1"/>
</calcChain>
</file>

<file path=xl/sharedStrings.xml><?xml version="1.0" encoding="utf-8"?>
<sst xmlns="http://schemas.openxmlformats.org/spreadsheetml/2006/main" count="542" uniqueCount="368">
  <si>
    <t>name</t>
  </si>
  <si>
    <t>iso_a3</t>
  </si>
  <si>
    <t>continent</t>
  </si>
  <si>
    <t>STAR_R_sum</t>
  </si>
  <si>
    <t>STAR_R_centiSTAR</t>
  </si>
  <si>
    <t>STAR_R_mean</t>
  </si>
  <si>
    <t>STAR_R_median</t>
  </si>
  <si>
    <t>STAR_R_min</t>
  </si>
  <si>
    <t>STAR_R_max</t>
  </si>
  <si>
    <t>STAR_R_std</t>
  </si>
  <si>
    <t>STAR_R_count</t>
  </si>
  <si>
    <t>Ethiopia</t>
  </si>
  <si>
    <t>United States of America</t>
  </si>
  <si>
    <t>Philippines</t>
  </si>
  <si>
    <t>Thailand</t>
  </si>
  <si>
    <t>Dem. Rep. Congo</t>
  </si>
  <si>
    <t>Brazil</t>
  </si>
  <si>
    <t>Costa Rica</t>
  </si>
  <si>
    <t>Indonesia</t>
  </si>
  <si>
    <t>China</t>
  </si>
  <si>
    <t>Mexico</t>
  </si>
  <si>
    <t>India</t>
  </si>
  <si>
    <t>Argentina</t>
  </si>
  <si>
    <t>Russia</t>
  </si>
  <si>
    <t>Kenya</t>
  </si>
  <si>
    <t>New Zealand</t>
  </si>
  <si>
    <t>Canada</t>
  </si>
  <si>
    <t>Tanzania</t>
  </si>
  <si>
    <t>Madagascar</t>
  </si>
  <si>
    <t>Ukraine</t>
  </si>
  <si>
    <t>Haiti</t>
  </si>
  <si>
    <t>Côte d'Ivoire</t>
  </si>
  <si>
    <t>Colombia</t>
  </si>
  <si>
    <t>Nepal</t>
  </si>
  <si>
    <t>Peru</t>
  </si>
  <si>
    <t>Cuba</t>
  </si>
  <si>
    <t>Dominican Rep.</t>
  </si>
  <si>
    <t>Cameroon</t>
  </si>
  <si>
    <t>Malaysia</t>
  </si>
  <si>
    <t>Venezuela</t>
  </si>
  <si>
    <t>Ecuador</t>
  </si>
  <si>
    <t>Australia</t>
  </si>
  <si>
    <t>Ghana</t>
  </si>
  <si>
    <t>Vietnam</t>
  </si>
  <si>
    <t>Sri Lanka</t>
  </si>
  <si>
    <t>Romania</t>
  </si>
  <si>
    <t>Taiwan</t>
  </si>
  <si>
    <t>Timor-Leste</t>
  </si>
  <si>
    <t>Iran</t>
  </si>
  <si>
    <t>South Africa</t>
  </si>
  <si>
    <t>Burundi</t>
  </si>
  <si>
    <t>Myanmar</t>
  </si>
  <si>
    <t>Turkey</t>
  </si>
  <si>
    <t>Italy</t>
  </si>
  <si>
    <t>Nigeria</t>
  </si>
  <si>
    <t>Liberia</t>
  </si>
  <si>
    <t>Panama</t>
  </si>
  <si>
    <t>Pakistan</t>
  </si>
  <si>
    <t>Guinea</t>
  </si>
  <si>
    <t>Guatemala</t>
  </si>
  <si>
    <t>Uganda</t>
  </si>
  <si>
    <t>Fiji</t>
  </si>
  <si>
    <t>Spain</t>
  </si>
  <si>
    <t>South Korea</t>
  </si>
  <si>
    <t>Honduras</t>
  </si>
  <si>
    <t>Bolivia</t>
  </si>
  <si>
    <t>Cambodia</t>
  </si>
  <si>
    <t>Papua New Guinea</t>
  </si>
  <si>
    <t>Hungary</t>
  </si>
  <si>
    <t>Morocco</t>
  </si>
  <si>
    <t>France</t>
  </si>
  <si>
    <t>Jamaica</t>
  </si>
  <si>
    <t>Puerto Rico</t>
  </si>
  <si>
    <t>Chile</t>
  </si>
  <si>
    <t>Japan</t>
  </si>
  <si>
    <t>Bangladesh</t>
  </si>
  <si>
    <t>Sierra Leone</t>
  </si>
  <si>
    <t>Iraq</t>
  </si>
  <si>
    <t>Rwanda</t>
  </si>
  <si>
    <t>Finland</t>
  </si>
  <si>
    <t>New Caledonia</t>
  </si>
  <si>
    <t>Algeria</t>
  </si>
  <si>
    <t>Kazakhstan</t>
  </si>
  <si>
    <t>Angola</t>
  </si>
  <si>
    <t>Mozambique</t>
  </si>
  <si>
    <t>Uruguay</t>
  </si>
  <si>
    <t>Israel</t>
  </si>
  <si>
    <t>Laos</t>
  </si>
  <si>
    <t>Belarus</t>
  </si>
  <si>
    <t>Greece</t>
  </si>
  <si>
    <t>Paraguay</t>
  </si>
  <si>
    <t>Malawi</t>
  </si>
  <si>
    <t>Poland</t>
  </si>
  <si>
    <t>Somalia</t>
  </si>
  <si>
    <t>Germany</t>
  </si>
  <si>
    <t>Sudan</t>
  </si>
  <si>
    <t>Nicaragua</t>
  </si>
  <si>
    <t>Portugal</t>
  </si>
  <si>
    <t>Netherlands</t>
  </si>
  <si>
    <t>Somaliland</t>
  </si>
  <si>
    <t>Egypt</t>
  </si>
  <si>
    <t>Bulgaria</t>
  </si>
  <si>
    <t>North Korea</t>
  </si>
  <si>
    <t>Lebanon</t>
  </si>
  <si>
    <t>Zimbabwe</t>
  </si>
  <si>
    <t>Zambia</t>
  </si>
  <si>
    <t>Chad</t>
  </si>
  <si>
    <t>Estonia</t>
  </si>
  <si>
    <t>Mali</t>
  </si>
  <si>
    <t>Azerbaijan</t>
  </si>
  <si>
    <t>Togo</t>
  </si>
  <si>
    <t>Namibia</t>
  </si>
  <si>
    <t>Georgia</t>
  </si>
  <si>
    <t>Croatia</t>
  </si>
  <si>
    <t>Latvia</t>
  </si>
  <si>
    <t>Serbia</t>
  </si>
  <si>
    <t>Burkina Faso</t>
  </si>
  <si>
    <t>Albania</t>
  </si>
  <si>
    <t>Trinidad and Tobago</t>
  </si>
  <si>
    <t>Bosnia and Herz.</t>
  </si>
  <si>
    <t>Moldova</t>
  </si>
  <si>
    <t>Mongolia</t>
  </si>
  <si>
    <t>Congo</t>
  </si>
  <si>
    <t>Niger</t>
  </si>
  <si>
    <t>Eritrea</t>
  </si>
  <si>
    <t>Botswana</t>
  </si>
  <si>
    <t>Senegal</t>
  </si>
  <si>
    <t>Afghanistan</t>
  </si>
  <si>
    <t>Tunisia</t>
  </si>
  <si>
    <t>Yemen</t>
  </si>
  <si>
    <t>Solomon Is.</t>
  </si>
  <si>
    <t>Lithuania</t>
  </si>
  <si>
    <t>Lesotho</t>
  </si>
  <si>
    <t>S. Sudan</t>
  </si>
  <si>
    <t>Saudi Arabia</t>
  </si>
  <si>
    <t>Austria</t>
  </si>
  <si>
    <t>Uzbekistan</t>
  </si>
  <si>
    <t>Kyrgyzstan</t>
  </si>
  <si>
    <t>Vanuatu</t>
  </si>
  <si>
    <t>Montenegro</t>
  </si>
  <si>
    <t>Gabon</t>
  </si>
  <si>
    <t>Benin</t>
  </si>
  <si>
    <t>Syria</t>
  </si>
  <si>
    <t>El Salvador</t>
  </si>
  <si>
    <t>Slovakia</t>
  </si>
  <si>
    <t>Guinea-Bissau</t>
  </si>
  <si>
    <t>Armenia</t>
  </si>
  <si>
    <t>Belgium</t>
  </si>
  <si>
    <t>Palestine</t>
  </si>
  <si>
    <t>Brunei</t>
  </si>
  <si>
    <t>Central African Rep.</t>
  </si>
  <si>
    <t>Czechia</t>
  </si>
  <si>
    <t>Bhutan</t>
  </si>
  <si>
    <t>Belize</t>
  </si>
  <si>
    <t>Mauritania</t>
  </si>
  <si>
    <t>Bahamas</t>
  </si>
  <si>
    <t>United Kingdom</t>
  </si>
  <si>
    <t>eSwatini</t>
  </si>
  <si>
    <t>Gambia</t>
  </si>
  <si>
    <t>Eq. Guinea</t>
  </si>
  <si>
    <t>Slovenia</t>
  </si>
  <si>
    <t>Turkmenistan</t>
  </si>
  <si>
    <t>Switzerland</t>
  </si>
  <si>
    <t>Tajikistan</t>
  </si>
  <si>
    <t>Guyana</t>
  </si>
  <si>
    <t>Libya</t>
  </si>
  <si>
    <t>Oman</t>
  </si>
  <si>
    <t>Sweden</t>
  </si>
  <si>
    <t>Jordan</t>
  </si>
  <si>
    <t>Norway</t>
  </si>
  <si>
    <t>Macedonia</t>
  </si>
  <si>
    <t>Iceland</t>
  </si>
  <si>
    <t>Ireland</t>
  </si>
  <si>
    <t>United Arab Emirates</t>
  </si>
  <si>
    <t>Denmark</t>
  </si>
  <si>
    <t>Suriname</t>
  </si>
  <si>
    <t>Cyprus</t>
  </si>
  <si>
    <t>Djibouti</t>
  </si>
  <si>
    <t>Kosovo</t>
  </si>
  <si>
    <t>N. Cyprus</t>
  </si>
  <si>
    <t>Kuwait</t>
  </si>
  <si>
    <t>W. Sahara</t>
  </si>
  <si>
    <t>Luxembourg</t>
  </si>
  <si>
    <t>Fr. S. Antarctic Lands</t>
  </si>
  <si>
    <t>Qatar</t>
  </si>
  <si>
    <t>Falkland Is.</t>
  </si>
  <si>
    <t>Greenland</t>
  </si>
  <si>
    <t>Antarctica</t>
  </si>
  <si>
    <t>ETH</t>
  </si>
  <si>
    <t>USA</t>
  </si>
  <si>
    <t>PHL</t>
  </si>
  <si>
    <t>THA</t>
  </si>
  <si>
    <t>COD</t>
  </si>
  <si>
    <t>BRA</t>
  </si>
  <si>
    <t>CRI</t>
  </si>
  <si>
    <t>IDN</t>
  </si>
  <si>
    <t>CHN</t>
  </si>
  <si>
    <t>MEX</t>
  </si>
  <si>
    <t>IND</t>
  </si>
  <si>
    <t>ARG</t>
  </si>
  <si>
    <t>RUS</t>
  </si>
  <si>
    <t>KEN</t>
  </si>
  <si>
    <t>NZL</t>
  </si>
  <si>
    <t>CAN</t>
  </si>
  <si>
    <t>TZA</t>
  </si>
  <si>
    <t>MDG</t>
  </si>
  <si>
    <t>UKR</t>
  </si>
  <si>
    <t>HTI</t>
  </si>
  <si>
    <t>CIV</t>
  </si>
  <si>
    <t>COL</t>
  </si>
  <si>
    <t>NPL</t>
  </si>
  <si>
    <t>PER</t>
  </si>
  <si>
    <t>CUB</t>
  </si>
  <si>
    <t>DOM</t>
  </si>
  <si>
    <t>CMR</t>
  </si>
  <si>
    <t>MYS</t>
  </si>
  <si>
    <t>VEN</t>
  </si>
  <si>
    <t>ECU</t>
  </si>
  <si>
    <t>AUS</t>
  </si>
  <si>
    <t>GHA</t>
  </si>
  <si>
    <t>VNM</t>
  </si>
  <si>
    <t>LKA</t>
  </si>
  <si>
    <t>ROU</t>
  </si>
  <si>
    <t>TWN</t>
  </si>
  <si>
    <t>TLS</t>
  </si>
  <si>
    <t>IRN</t>
  </si>
  <si>
    <t>ZAF</t>
  </si>
  <si>
    <t>BDI</t>
  </si>
  <si>
    <t>MMR</t>
  </si>
  <si>
    <t>TUR</t>
  </si>
  <si>
    <t>ITA</t>
  </si>
  <si>
    <t>NGA</t>
  </si>
  <si>
    <t>LBR</t>
  </si>
  <si>
    <t>PAN</t>
  </si>
  <si>
    <t>PAK</t>
  </si>
  <si>
    <t>GIN</t>
  </si>
  <si>
    <t>GTM</t>
  </si>
  <si>
    <t>UGA</t>
  </si>
  <si>
    <t>FJI</t>
  </si>
  <si>
    <t>ESP</t>
  </si>
  <si>
    <t>KOR</t>
  </si>
  <si>
    <t>HND</t>
  </si>
  <si>
    <t>BOL</t>
  </si>
  <si>
    <t>KHM</t>
  </si>
  <si>
    <t>PNG</t>
  </si>
  <si>
    <t>HUN</t>
  </si>
  <si>
    <t>MAR</t>
  </si>
  <si>
    <t>-99</t>
  </si>
  <si>
    <t>JAM</t>
  </si>
  <si>
    <t>PRI</t>
  </si>
  <si>
    <t>CHL</t>
  </si>
  <si>
    <t>JPN</t>
  </si>
  <si>
    <t>BGD</t>
  </si>
  <si>
    <t>SLE</t>
  </si>
  <si>
    <t>IRQ</t>
  </si>
  <si>
    <t>RWA</t>
  </si>
  <si>
    <t>FIN</t>
  </si>
  <si>
    <t>NCL</t>
  </si>
  <si>
    <t>DZA</t>
  </si>
  <si>
    <t>KAZ</t>
  </si>
  <si>
    <t>AGO</t>
  </si>
  <si>
    <t>MOZ</t>
  </si>
  <si>
    <t>URY</t>
  </si>
  <si>
    <t>ISR</t>
  </si>
  <si>
    <t>LAO</t>
  </si>
  <si>
    <t>BLR</t>
  </si>
  <si>
    <t>GRC</t>
  </si>
  <si>
    <t>PRY</t>
  </si>
  <si>
    <t>MWI</t>
  </si>
  <si>
    <t>POL</t>
  </si>
  <si>
    <t>SOM</t>
  </si>
  <si>
    <t>DEU</t>
  </si>
  <si>
    <t>SDN</t>
  </si>
  <si>
    <t>NIC</t>
  </si>
  <si>
    <t>PRT</t>
  </si>
  <si>
    <t>NLD</t>
  </si>
  <si>
    <t>EGY</t>
  </si>
  <si>
    <t>BGR</t>
  </si>
  <si>
    <t>PRK</t>
  </si>
  <si>
    <t>LBN</t>
  </si>
  <si>
    <t>ZWE</t>
  </si>
  <si>
    <t>ZMB</t>
  </si>
  <si>
    <t>TCD</t>
  </si>
  <si>
    <t>EST</t>
  </si>
  <si>
    <t>MLI</t>
  </si>
  <si>
    <t>AZE</t>
  </si>
  <si>
    <t>TGO</t>
  </si>
  <si>
    <t>NAM</t>
  </si>
  <si>
    <t>GEO</t>
  </si>
  <si>
    <t>HRV</t>
  </si>
  <si>
    <t>LVA</t>
  </si>
  <si>
    <t>SRB</t>
  </si>
  <si>
    <t>BFA</t>
  </si>
  <si>
    <t>ALB</t>
  </si>
  <si>
    <t>TTO</t>
  </si>
  <si>
    <t>BIH</t>
  </si>
  <si>
    <t>MDA</t>
  </si>
  <si>
    <t>MNG</t>
  </si>
  <si>
    <t>COG</t>
  </si>
  <si>
    <t>NER</t>
  </si>
  <si>
    <t>ERI</t>
  </si>
  <si>
    <t>BWA</t>
  </si>
  <si>
    <t>SEN</t>
  </si>
  <si>
    <t>AFG</t>
  </si>
  <si>
    <t>TUN</t>
  </si>
  <si>
    <t>YEM</t>
  </si>
  <si>
    <t>SLB</t>
  </si>
  <si>
    <t>LTU</t>
  </si>
  <si>
    <t>LSO</t>
  </si>
  <si>
    <t>SSD</t>
  </si>
  <si>
    <t>SAU</t>
  </si>
  <si>
    <t>AUT</t>
  </si>
  <si>
    <t>UZB</t>
  </si>
  <si>
    <t>KGZ</t>
  </si>
  <si>
    <t>VUT</t>
  </si>
  <si>
    <t>MNE</t>
  </si>
  <si>
    <t>GAB</t>
  </si>
  <si>
    <t>BEN</t>
  </si>
  <si>
    <t>SYR</t>
  </si>
  <si>
    <t>SLV</t>
  </si>
  <si>
    <t>SVK</t>
  </si>
  <si>
    <t>GNB</t>
  </si>
  <si>
    <t>ARM</t>
  </si>
  <si>
    <t>BEL</t>
  </si>
  <si>
    <t>PSE</t>
  </si>
  <si>
    <t>BRN</t>
  </si>
  <si>
    <t>CAF</t>
  </si>
  <si>
    <t>CZE</t>
  </si>
  <si>
    <t>BTN</t>
  </si>
  <si>
    <t>BLZ</t>
  </si>
  <si>
    <t>MRT</t>
  </si>
  <si>
    <t>BHS</t>
  </si>
  <si>
    <t>GBR</t>
  </si>
  <si>
    <t>SWZ</t>
  </si>
  <si>
    <t>GMB</t>
  </si>
  <si>
    <t>GNQ</t>
  </si>
  <si>
    <t>SVN</t>
  </si>
  <si>
    <t>TKM</t>
  </si>
  <si>
    <t>CHE</t>
  </si>
  <si>
    <t>TJK</t>
  </si>
  <si>
    <t>GUY</t>
  </si>
  <si>
    <t>LBY</t>
  </si>
  <si>
    <t>OMN</t>
  </si>
  <si>
    <t>SWE</t>
  </si>
  <si>
    <t>JOR</t>
  </si>
  <si>
    <t>MKD</t>
  </si>
  <si>
    <t>ISL</t>
  </si>
  <si>
    <t>IRL</t>
  </si>
  <si>
    <t>ARE</t>
  </si>
  <si>
    <t>DNK</t>
  </si>
  <si>
    <t>SUR</t>
  </si>
  <si>
    <t>CYP</t>
  </si>
  <si>
    <t>DJI</t>
  </si>
  <si>
    <t>KWT</t>
  </si>
  <si>
    <t>ESH</t>
  </si>
  <si>
    <t>LUX</t>
  </si>
  <si>
    <t>ATF</t>
  </si>
  <si>
    <t>QAT</t>
  </si>
  <si>
    <t>FLK</t>
  </si>
  <si>
    <t>GRL</t>
  </si>
  <si>
    <t>ATA</t>
  </si>
  <si>
    <t>Africa</t>
  </si>
  <si>
    <t>North America</t>
  </si>
  <si>
    <t>Asia</t>
  </si>
  <si>
    <t>South America</t>
  </si>
  <si>
    <t>Europe</t>
  </si>
  <si>
    <t>Oceania</t>
  </si>
  <si>
    <t>Seven seas (open ocean)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</si>
</sst>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8"/>
  <sheetViews>
    <sheetView tabSelected="1" workbookViewId="0">
      <selection activeCell="M11" sqref="M11"/>
    </sheetView>
  </sheetViews>
  <sheetFormatPr baseColWidth="10" defaultColWidth="8.83203125" defaultRowHeight="15" x14ac:dyDescent="0.2"/>
  <cols>
    <col min="1" max="1" width="19.6640625" bestFit="1" customWidth="1"/>
    <col min="2" max="2" width="6" bestFit="1" customWidth="1"/>
    <col min="3" max="3" width="19" bestFit="1" customWidth="1"/>
    <col min="4" max="4" width="12.1640625" bestFit="1" customWidth="1"/>
    <col min="5" max="5" width="15.5" style="3" bestFit="1" customWidth="1"/>
    <col min="6" max="6" width="12.1640625" bestFit="1" customWidth="1"/>
    <col min="7" max="7" width="13.5" bestFit="1" customWidth="1"/>
    <col min="8" max="11" width="12.1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 t="s">
        <v>11</v>
      </c>
      <c r="B2" t="s">
        <v>188</v>
      </c>
      <c r="C2" t="s">
        <v>361</v>
      </c>
      <c r="D2">
        <v>193816.984375</v>
      </c>
      <c r="E2" s="3">
        <v>19381698.4375</v>
      </c>
      <c r="F2">
        <v>4.1975350711439336</v>
      </c>
      <c r="G2">
        <v>1.0733945528045301E-3</v>
      </c>
      <c r="H2">
        <v>0</v>
      </c>
      <c r="I2">
        <v>23924.158203125</v>
      </c>
      <c r="J2">
        <v>167.60167504702861</v>
      </c>
      <c r="K2">
        <v>46174</v>
      </c>
      <c r="M2">
        <f>K2*F2</f>
        <v>193816.984375</v>
      </c>
      <c r="N2" t="b">
        <f>M2=D2</f>
        <v>1</v>
      </c>
    </row>
    <row r="3" spans="1:14" x14ac:dyDescent="0.2">
      <c r="A3" t="s">
        <v>12</v>
      </c>
      <c r="B3" t="s">
        <v>189</v>
      </c>
      <c r="C3" t="s">
        <v>362</v>
      </c>
      <c r="D3">
        <v>80841.8203125</v>
      </c>
      <c r="E3" s="3">
        <v>8084182.03125</v>
      </c>
      <c r="F3">
        <v>0.21240792836648739</v>
      </c>
      <c r="G3">
        <v>2.136775059625506E-3</v>
      </c>
      <c r="H3">
        <v>0</v>
      </c>
      <c r="I3">
        <v>1268.41162109375</v>
      </c>
      <c r="J3">
        <v>2.7221034969217319</v>
      </c>
      <c r="K3">
        <v>380597</v>
      </c>
      <c r="M3">
        <f t="shared" ref="M3:M66" si="0">K3*F3</f>
        <v>80841.8203125</v>
      </c>
      <c r="N3" t="b">
        <f t="shared" ref="N3:N66" si="1">M3=D3</f>
        <v>1</v>
      </c>
    </row>
    <row r="4" spans="1:14" x14ac:dyDescent="0.2">
      <c r="A4" t="s">
        <v>13</v>
      </c>
      <c r="B4" t="s">
        <v>190</v>
      </c>
      <c r="C4" t="s">
        <v>363</v>
      </c>
      <c r="D4">
        <v>47791.453125</v>
      </c>
      <c r="E4" s="3">
        <v>4779145.3125</v>
      </c>
      <c r="F4">
        <v>4.3090301257776584</v>
      </c>
      <c r="G4">
        <v>0.60894954204559326</v>
      </c>
      <c r="H4">
        <v>0</v>
      </c>
      <c r="I4">
        <v>729.6685791015625</v>
      </c>
      <c r="J4">
        <v>24.0766475113887</v>
      </c>
      <c r="K4">
        <v>11091</v>
      </c>
      <c r="M4">
        <f t="shared" si="0"/>
        <v>47791.453125000007</v>
      </c>
      <c r="N4" t="b">
        <f t="shared" si="1"/>
        <v>1</v>
      </c>
    </row>
    <row r="5" spans="1:14" x14ac:dyDescent="0.2">
      <c r="A5" t="s">
        <v>14</v>
      </c>
      <c r="B5" t="s">
        <v>191</v>
      </c>
      <c r="C5" t="s">
        <v>363</v>
      </c>
      <c r="D5">
        <v>40030.4453125</v>
      </c>
      <c r="E5" s="3">
        <v>4003044.53125</v>
      </c>
      <c r="F5">
        <v>1.934866127531538</v>
      </c>
      <c r="G5">
        <v>4.2199674993753433E-2</v>
      </c>
      <c r="H5">
        <v>0</v>
      </c>
      <c r="I5">
        <v>350.99237060546881</v>
      </c>
      <c r="J5">
        <v>25.252835983796281</v>
      </c>
      <c r="K5">
        <v>20689</v>
      </c>
      <c r="M5">
        <f t="shared" si="0"/>
        <v>40030.445312499993</v>
      </c>
      <c r="N5" t="b">
        <f t="shared" si="1"/>
        <v>1</v>
      </c>
    </row>
    <row r="6" spans="1:14" x14ac:dyDescent="0.2">
      <c r="A6" t="s">
        <v>15</v>
      </c>
      <c r="B6" t="s">
        <v>192</v>
      </c>
      <c r="C6" t="s">
        <v>361</v>
      </c>
      <c r="D6">
        <v>22102.35546875</v>
      </c>
      <c r="E6" s="3">
        <v>2210235.546875</v>
      </c>
      <c r="F6">
        <v>0.2340384318846028</v>
      </c>
      <c r="G6">
        <v>3.1130210845731199E-4</v>
      </c>
      <c r="H6">
        <v>0</v>
      </c>
      <c r="I6">
        <v>2487.2802734375</v>
      </c>
      <c r="J6">
        <v>21.381802304035372</v>
      </c>
      <c r="K6">
        <v>94439</v>
      </c>
      <c r="M6">
        <f t="shared" si="0"/>
        <v>22102.355468750004</v>
      </c>
      <c r="N6" t="b">
        <f t="shared" si="1"/>
        <v>1</v>
      </c>
    </row>
    <row r="7" spans="1:14" x14ac:dyDescent="0.2">
      <c r="A7" t="s">
        <v>16</v>
      </c>
      <c r="B7" t="s">
        <v>193</v>
      </c>
      <c r="C7" t="s">
        <v>364</v>
      </c>
      <c r="D7">
        <v>21045.35546875</v>
      </c>
      <c r="E7" s="3">
        <v>2104535.546875</v>
      </c>
      <c r="F7">
        <v>6.0736606047728438E-2</v>
      </c>
      <c r="G7">
        <v>2.5819647125899792E-3</v>
      </c>
      <c r="H7">
        <v>0</v>
      </c>
      <c r="I7">
        <v>121.357177734375</v>
      </c>
      <c r="J7">
        <v>1.0596052935604261</v>
      </c>
      <c r="K7">
        <v>346502</v>
      </c>
      <c r="M7">
        <f t="shared" si="0"/>
        <v>21045.35546875</v>
      </c>
      <c r="N7" t="b">
        <f t="shared" si="1"/>
        <v>1</v>
      </c>
    </row>
    <row r="8" spans="1:14" x14ac:dyDescent="0.2">
      <c r="A8" t="s">
        <v>17</v>
      </c>
      <c r="B8" t="s">
        <v>194</v>
      </c>
      <c r="C8" t="s">
        <v>362</v>
      </c>
      <c r="D8">
        <v>19915.640625</v>
      </c>
      <c r="E8" s="3">
        <v>1991564.0625</v>
      </c>
      <c r="F8">
        <v>9.1608282543698252</v>
      </c>
      <c r="G8">
        <v>0.54853212833404541</v>
      </c>
      <c r="H8">
        <v>0</v>
      </c>
      <c r="I8">
        <v>137.78654479980469</v>
      </c>
      <c r="J8">
        <v>29.662291851107</v>
      </c>
      <c r="K8">
        <v>2174</v>
      </c>
      <c r="M8">
        <f t="shared" si="0"/>
        <v>19915.640625</v>
      </c>
      <c r="N8" t="b">
        <f t="shared" si="1"/>
        <v>1</v>
      </c>
    </row>
    <row r="9" spans="1:14" x14ac:dyDescent="0.2">
      <c r="A9" t="s">
        <v>18</v>
      </c>
      <c r="B9" t="s">
        <v>195</v>
      </c>
      <c r="C9" t="s">
        <v>363</v>
      </c>
      <c r="D9">
        <v>14767.283203125</v>
      </c>
      <c r="E9" s="3">
        <v>1476728.3203125</v>
      </c>
      <c r="F9">
        <v>0.2040187229300793</v>
      </c>
      <c r="G9">
        <v>2.6469651609659191E-2</v>
      </c>
      <c r="H9">
        <v>0</v>
      </c>
      <c r="I9">
        <v>114.7646560668945</v>
      </c>
      <c r="J9">
        <v>0.89074288877640806</v>
      </c>
      <c r="K9">
        <v>72382</v>
      </c>
      <c r="M9">
        <f t="shared" si="0"/>
        <v>14767.283203125</v>
      </c>
      <c r="N9" t="b">
        <f t="shared" si="1"/>
        <v>1</v>
      </c>
    </row>
    <row r="10" spans="1:14" x14ac:dyDescent="0.2">
      <c r="A10" t="s">
        <v>19</v>
      </c>
      <c r="B10" t="s">
        <v>196</v>
      </c>
      <c r="C10" t="s">
        <v>363</v>
      </c>
      <c r="D10">
        <v>14040.4345703125</v>
      </c>
      <c r="E10" s="3">
        <v>1404043.45703125</v>
      </c>
      <c r="F10">
        <v>3.6801789104786181E-2</v>
      </c>
      <c r="G10">
        <v>1.370265381410718E-3</v>
      </c>
      <c r="H10">
        <v>0</v>
      </c>
      <c r="I10">
        <v>516.965087890625</v>
      </c>
      <c r="J10">
        <v>1.4428314161700271</v>
      </c>
      <c r="K10">
        <v>381515</v>
      </c>
      <c r="M10">
        <f t="shared" si="0"/>
        <v>14040.4345703125</v>
      </c>
      <c r="N10" t="b">
        <f t="shared" si="1"/>
        <v>1</v>
      </c>
    </row>
    <row r="11" spans="1:14" x14ac:dyDescent="0.2">
      <c r="A11" t="s">
        <v>20</v>
      </c>
      <c r="B11" t="s">
        <v>197</v>
      </c>
      <c r="C11" t="s">
        <v>362</v>
      </c>
      <c r="D11">
        <v>13414.83203125</v>
      </c>
      <c r="E11" s="3">
        <v>1341483.203125</v>
      </c>
      <c r="F11">
        <v>0.16785325364426931</v>
      </c>
      <c r="G11">
        <v>1.448246650397778E-3</v>
      </c>
      <c r="H11">
        <v>0</v>
      </c>
      <c r="I11">
        <v>1636.59423828125</v>
      </c>
      <c r="J11">
        <v>6.564576393241051</v>
      </c>
      <c r="K11">
        <v>79920</v>
      </c>
      <c r="M11">
        <f t="shared" si="0"/>
        <v>13414.832031250004</v>
      </c>
      <c r="N11" t="b">
        <f t="shared" si="1"/>
        <v>1</v>
      </c>
    </row>
    <row r="12" spans="1:14" x14ac:dyDescent="0.2">
      <c r="A12" t="s">
        <v>21</v>
      </c>
      <c r="B12" t="s">
        <v>198</v>
      </c>
      <c r="C12" t="s">
        <v>363</v>
      </c>
      <c r="D12">
        <v>12493.8876953125</v>
      </c>
      <c r="E12" s="3">
        <v>1249388.76953125</v>
      </c>
      <c r="F12">
        <v>9.7732189922499574E-2</v>
      </c>
      <c r="G12">
        <v>3.6961980164051063E-2</v>
      </c>
      <c r="H12">
        <v>0</v>
      </c>
      <c r="I12">
        <v>38.048500061035163</v>
      </c>
      <c r="J12">
        <v>0.6155303910225971</v>
      </c>
      <c r="K12">
        <v>127838</v>
      </c>
      <c r="M12">
        <f t="shared" si="0"/>
        <v>12493.8876953125</v>
      </c>
      <c r="N12" t="b">
        <f t="shared" si="1"/>
        <v>1</v>
      </c>
    </row>
    <row r="13" spans="1:14" x14ac:dyDescent="0.2">
      <c r="A13" t="s">
        <v>22</v>
      </c>
      <c r="B13" t="s">
        <v>199</v>
      </c>
      <c r="C13" t="s">
        <v>364</v>
      </c>
      <c r="D13">
        <v>11226.11328125</v>
      </c>
      <c r="E13" s="3">
        <v>1122611.328125</v>
      </c>
      <c r="F13">
        <v>9.9636226546760034E-2</v>
      </c>
      <c r="G13">
        <v>2.2747450202587061E-5</v>
      </c>
      <c r="H13">
        <v>0</v>
      </c>
      <c r="I13">
        <v>40.295101165771477</v>
      </c>
      <c r="J13">
        <v>1.272689334300086</v>
      </c>
      <c r="K13">
        <v>112671</v>
      </c>
      <c r="M13">
        <f t="shared" si="0"/>
        <v>11226.11328125</v>
      </c>
      <c r="N13" t="b">
        <f t="shared" si="1"/>
        <v>1</v>
      </c>
    </row>
    <row r="14" spans="1:14" x14ac:dyDescent="0.2">
      <c r="A14" t="s">
        <v>23</v>
      </c>
      <c r="B14" t="s">
        <v>200</v>
      </c>
      <c r="C14" t="s">
        <v>365</v>
      </c>
      <c r="D14">
        <v>7298.47900390625</v>
      </c>
      <c r="E14" s="3">
        <v>729847.900390625</v>
      </c>
      <c r="F14">
        <v>1.0710439430711391E-2</v>
      </c>
      <c r="G14">
        <v>0</v>
      </c>
      <c r="H14">
        <v>0</v>
      </c>
      <c r="I14">
        <v>3.075128316879272</v>
      </c>
      <c r="J14">
        <v>6.3626459572673558E-2</v>
      </c>
      <c r="K14">
        <v>681436</v>
      </c>
      <c r="M14">
        <f t="shared" si="0"/>
        <v>7298.4790039062473</v>
      </c>
      <c r="N14" t="b">
        <f t="shared" si="1"/>
        <v>1</v>
      </c>
    </row>
    <row r="15" spans="1:14" x14ac:dyDescent="0.2">
      <c r="A15" t="s">
        <v>24</v>
      </c>
      <c r="B15" t="s">
        <v>201</v>
      </c>
      <c r="C15" t="s">
        <v>361</v>
      </c>
      <c r="D15">
        <v>6846.4287109375</v>
      </c>
      <c r="E15" s="3">
        <v>684642.87109375</v>
      </c>
      <c r="F15">
        <v>0.28752010376858311</v>
      </c>
      <c r="G15">
        <v>1.234611729159951E-3</v>
      </c>
      <c r="H15">
        <v>0</v>
      </c>
      <c r="I15">
        <v>1017.836608886719</v>
      </c>
      <c r="J15">
        <v>10.217379286863549</v>
      </c>
      <c r="K15">
        <v>23812</v>
      </c>
      <c r="M15">
        <f t="shared" si="0"/>
        <v>6846.4287109375009</v>
      </c>
      <c r="N15" t="b">
        <f t="shared" si="1"/>
        <v>1</v>
      </c>
    </row>
    <row r="16" spans="1:14" x14ac:dyDescent="0.2">
      <c r="A16" t="s">
        <v>25</v>
      </c>
      <c r="B16" t="s">
        <v>202</v>
      </c>
      <c r="C16" t="s">
        <v>366</v>
      </c>
      <c r="D16">
        <v>5736.27294921875</v>
      </c>
      <c r="E16" s="3">
        <v>573627.294921875</v>
      </c>
      <c r="F16">
        <v>0.51575912149062664</v>
      </c>
      <c r="G16">
        <v>3.5678252577781677E-2</v>
      </c>
      <c r="H16">
        <v>0</v>
      </c>
      <c r="I16">
        <v>17.055540084838871</v>
      </c>
      <c r="J16">
        <v>1.1092243495501191</v>
      </c>
      <c r="K16">
        <v>11122</v>
      </c>
      <c r="M16">
        <f t="shared" si="0"/>
        <v>5736.2729492187491</v>
      </c>
      <c r="N16" t="b">
        <f t="shared" si="1"/>
        <v>1</v>
      </c>
    </row>
    <row r="17" spans="1:14" x14ac:dyDescent="0.2">
      <c r="A17" t="s">
        <v>26</v>
      </c>
      <c r="B17" t="s">
        <v>203</v>
      </c>
      <c r="C17" t="s">
        <v>362</v>
      </c>
      <c r="D17">
        <v>5464.3271484375</v>
      </c>
      <c r="E17" s="3">
        <v>546432.71484375</v>
      </c>
      <c r="F17">
        <v>1.371509536098485E-2</v>
      </c>
      <c r="G17">
        <v>0</v>
      </c>
      <c r="H17">
        <v>0</v>
      </c>
      <c r="I17">
        <v>1.4514034986495969</v>
      </c>
      <c r="J17">
        <v>0.1161917731583033</v>
      </c>
      <c r="K17">
        <v>398417</v>
      </c>
      <c r="M17">
        <f t="shared" si="0"/>
        <v>5464.3271484375009</v>
      </c>
      <c r="N17" t="b">
        <f t="shared" si="1"/>
        <v>1</v>
      </c>
    </row>
    <row r="18" spans="1:14" x14ac:dyDescent="0.2">
      <c r="A18" t="s">
        <v>27</v>
      </c>
      <c r="B18" t="s">
        <v>204</v>
      </c>
      <c r="C18" t="s">
        <v>361</v>
      </c>
      <c r="D18">
        <v>5443.48095703125</v>
      </c>
      <c r="E18" s="3">
        <v>544348.095703125</v>
      </c>
      <c r="F18">
        <v>0.1512876506220297</v>
      </c>
      <c r="G18">
        <v>1.966999843716621E-3</v>
      </c>
      <c r="H18">
        <v>0</v>
      </c>
      <c r="I18">
        <v>712.29248046875</v>
      </c>
      <c r="J18">
        <v>4.1098306978577366</v>
      </c>
      <c r="K18">
        <v>35981</v>
      </c>
      <c r="M18">
        <f t="shared" si="0"/>
        <v>5443.4809570312509</v>
      </c>
      <c r="N18" t="b">
        <f t="shared" si="1"/>
        <v>1</v>
      </c>
    </row>
    <row r="19" spans="1:14" x14ac:dyDescent="0.2">
      <c r="A19" t="s">
        <v>28</v>
      </c>
      <c r="B19" t="s">
        <v>205</v>
      </c>
      <c r="C19" t="s">
        <v>361</v>
      </c>
      <c r="D19">
        <v>5442.94580078125</v>
      </c>
      <c r="E19" s="3">
        <v>544294.580078125</v>
      </c>
      <c r="F19">
        <v>0.2270827235504714</v>
      </c>
      <c r="G19">
        <v>6.5305607859045267E-4</v>
      </c>
      <c r="H19">
        <v>0</v>
      </c>
      <c r="I19">
        <v>94.956092834472656</v>
      </c>
      <c r="J19">
        <v>1.512670204484716</v>
      </c>
      <c r="K19">
        <v>23969</v>
      </c>
      <c r="M19">
        <f t="shared" si="0"/>
        <v>5442.9458007812491</v>
      </c>
      <c r="N19" t="b">
        <f t="shared" si="1"/>
        <v>1</v>
      </c>
    </row>
    <row r="20" spans="1:14" x14ac:dyDescent="0.2">
      <c r="A20" t="s">
        <v>29</v>
      </c>
      <c r="B20" t="s">
        <v>206</v>
      </c>
      <c r="C20" t="s">
        <v>365</v>
      </c>
      <c r="D20">
        <v>5166.46435546875</v>
      </c>
      <c r="E20" s="3">
        <v>516646.435546875</v>
      </c>
      <c r="F20">
        <v>0.2236855156716781</v>
      </c>
      <c r="G20">
        <v>2.9690258670598269E-3</v>
      </c>
      <c r="H20">
        <v>0</v>
      </c>
      <c r="I20">
        <v>36.854106903076172</v>
      </c>
      <c r="J20">
        <v>0.67898083605226456</v>
      </c>
      <c r="K20">
        <v>23097</v>
      </c>
      <c r="M20">
        <f t="shared" si="0"/>
        <v>5166.4643554687491</v>
      </c>
      <c r="N20" t="b">
        <f t="shared" si="1"/>
        <v>1</v>
      </c>
    </row>
    <row r="21" spans="1:14" x14ac:dyDescent="0.2">
      <c r="A21" t="s">
        <v>30</v>
      </c>
      <c r="B21" t="s">
        <v>207</v>
      </c>
      <c r="C21" t="s">
        <v>362</v>
      </c>
      <c r="D21">
        <v>5029.1728515625</v>
      </c>
      <c r="E21" s="3">
        <v>502917.28515625</v>
      </c>
      <c r="F21">
        <v>4.4388109899051189</v>
      </c>
      <c r="G21">
        <v>0.78813761472702026</v>
      </c>
      <c r="H21">
        <v>0</v>
      </c>
      <c r="I21">
        <v>190.1949462890625</v>
      </c>
      <c r="J21">
        <v>16.820811477842639</v>
      </c>
      <c r="K21">
        <v>1133</v>
      </c>
      <c r="M21">
        <f t="shared" si="0"/>
        <v>5029.1728515625</v>
      </c>
      <c r="N21" t="b">
        <f t="shared" si="1"/>
        <v>1</v>
      </c>
    </row>
    <row r="22" spans="1:14" x14ac:dyDescent="0.2">
      <c r="A22" t="s">
        <v>31</v>
      </c>
      <c r="B22" t="s">
        <v>208</v>
      </c>
      <c r="C22" t="s">
        <v>361</v>
      </c>
      <c r="D22">
        <v>4345.6650390625</v>
      </c>
      <c r="E22" s="3">
        <v>434566.50390625</v>
      </c>
      <c r="F22">
        <v>0.32401320004939599</v>
      </c>
      <c r="G22">
        <v>2.6766149327158931E-2</v>
      </c>
      <c r="H22">
        <v>0</v>
      </c>
      <c r="I22">
        <v>46.636859893798828</v>
      </c>
      <c r="J22">
        <v>1.3147599901146481</v>
      </c>
      <c r="K22">
        <v>13412</v>
      </c>
      <c r="M22">
        <f t="shared" si="0"/>
        <v>4345.6650390624991</v>
      </c>
      <c r="N22" t="b">
        <f t="shared" si="1"/>
        <v>1</v>
      </c>
    </row>
    <row r="23" spans="1:14" x14ac:dyDescent="0.2">
      <c r="A23" t="s">
        <v>32</v>
      </c>
      <c r="B23" t="s">
        <v>209</v>
      </c>
      <c r="C23" t="s">
        <v>364</v>
      </c>
      <c r="D23">
        <v>4134.52294921875</v>
      </c>
      <c r="E23" s="3">
        <v>413452.294921875</v>
      </c>
      <c r="F23">
        <v>8.8090400537312236E-2</v>
      </c>
      <c r="G23">
        <v>3.1412771204486489E-4</v>
      </c>
      <c r="H23">
        <v>0</v>
      </c>
      <c r="I23">
        <v>74.389579772949219</v>
      </c>
      <c r="J23">
        <v>0.77443226770405016</v>
      </c>
      <c r="K23">
        <v>46935</v>
      </c>
      <c r="M23">
        <f t="shared" si="0"/>
        <v>4134.52294921875</v>
      </c>
      <c r="N23" t="b">
        <f t="shared" si="1"/>
        <v>1</v>
      </c>
    </row>
    <row r="24" spans="1:14" x14ac:dyDescent="0.2">
      <c r="A24" t="s">
        <v>33</v>
      </c>
      <c r="B24" t="s">
        <v>210</v>
      </c>
      <c r="C24" t="s">
        <v>363</v>
      </c>
      <c r="D24">
        <v>3784.72802734375</v>
      </c>
      <c r="E24" s="3">
        <v>378472.802734375</v>
      </c>
      <c r="F24">
        <v>0.61610418807484124</v>
      </c>
      <c r="G24">
        <v>2.7105927467346191E-2</v>
      </c>
      <c r="H24">
        <v>0</v>
      </c>
      <c r="I24">
        <v>26.44270133972168</v>
      </c>
      <c r="J24">
        <v>2.3339311163477552</v>
      </c>
      <c r="K24">
        <v>6143</v>
      </c>
      <c r="M24">
        <f t="shared" si="0"/>
        <v>3784.7280273437495</v>
      </c>
      <c r="N24" t="b">
        <f t="shared" si="1"/>
        <v>1</v>
      </c>
    </row>
    <row r="25" spans="1:14" x14ac:dyDescent="0.2">
      <c r="A25" t="s">
        <v>34</v>
      </c>
      <c r="B25" t="s">
        <v>211</v>
      </c>
      <c r="C25" t="s">
        <v>364</v>
      </c>
      <c r="D25">
        <v>3628.90771484375</v>
      </c>
      <c r="E25" s="3">
        <v>362890.771484375</v>
      </c>
      <c r="F25">
        <v>6.8620144369634484E-2</v>
      </c>
      <c r="G25">
        <v>0</v>
      </c>
      <c r="H25">
        <v>0</v>
      </c>
      <c r="I25">
        <v>162.18006896972659</v>
      </c>
      <c r="J25">
        <v>1.150963871038106</v>
      </c>
      <c r="K25">
        <v>52884</v>
      </c>
      <c r="M25">
        <f t="shared" si="0"/>
        <v>3628.90771484375</v>
      </c>
      <c r="N25" t="b">
        <f t="shared" si="1"/>
        <v>1</v>
      </c>
    </row>
    <row r="26" spans="1:14" x14ac:dyDescent="0.2">
      <c r="A26" t="s">
        <v>35</v>
      </c>
      <c r="B26" t="s">
        <v>212</v>
      </c>
      <c r="C26" t="s">
        <v>362</v>
      </c>
      <c r="D26">
        <v>3088.28173828125</v>
      </c>
      <c r="E26" s="3">
        <v>308828.173828125</v>
      </c>
      <c r="F26">
        <v>0.67532948573830087</v>
      </c>
      <c r="G26">
        <v>0.38565143942832952</v>
      </c>
      <c r="H26">
        <v>0</v>
      </c>
      <c r="I26">
        <v>25.836818695068359</v>
      </c>
      <c r="J26">
        <v>1.92883235659651</v>
      </c>
      <c r="K26">
        <v>4573</v>
      </c>
      <c r="M26">
        <f t="shared" si="0"/>
        <v>3088.28173828125</v>
      </c>
      <c r="N26" t="b">
        <f t="shared" si="1"/>
        <v>1</v>
      </c>
    </row>
    <row r="27" spans="1:14" x14ac:dyDescent="0.2">
      <c r="A27" t="s">
        <v>36</v>
      </c>
      <c r="B27" t="s">
        <v>213</v>
      </c>
      <c r="C27" t="s">
        <v>362</v>
      </c>
      <c r="D27">
        <v>2852.697265625</v>
      </c>
      <c r="E27" s="3">
        <v>285269.7265625</v>
      </c>
      <c r="F27">
        <v>1.4742621527777779</v>
      </c>
      <c r="G27">
        <v>0.41438689827919012</v>
      </c>
      <c r="H27">
        <v>0</v>
      </c>
      <c r="I27">
        <v>134.8966369628906</v>
      </c>
      <c r="J27">
        <v>5.2809011573255606</v>
      </c>
      <c r="K27">
        <v>1935</v>
      </c>
      <c r="M27">
        <f t="shared" si="0"/>
        <v>2852.6972656250005</v>
      </c>
      <c r="N27" t="b">
        <f t="shared" si="1"/>
        <v>1</v>
      </c>
    </row>
    <row r="28" spans="1:14" x14ac:dyDescent="0.2">
      <c r="A28" t="s">
        <v>37</v>
      </c>
      <c r="B28" t="s">
        <v>214</v>
      </c>
      <c r="C28" t="s">
        <v>361</v>
      </c>
      <c r="D28">
        <v>2767.710693359375</v>
      </c>
      <c r="E28" s="3">
        <v>276771.0693359375</v>
      </c>
      <c r="F28">
        <v>0.1483629425547775</v>
      </c>
      <c r="G28">
        <v>4.8504798905923963E-4</v>
      </c>
      <c r="H28">
        <v>0</v>
      </c>
      <c r="I28">
        <v>155.54917907714841</v>
      </c>
      <c r="J28">
        <v>2.9156861181877129</v>
      </c>
      <c r="K28">
        <v>18655</v>
      </c>
      <c r="M28">
        <f t="shared" si="0"/>
        <v>2767.7106933593741</v>
      </c>
      <c r="N28" t="b">
        <f t="shared" si="1"/>
        <v>0</v>
      </c>
    </row>
    <row r="29" spans="1:14" x14ac:dyDescent="0.2">
      <c r="A29" t="s">
        <v>38</v>
      </c>
      <c r="B29" t="s">
        <v>215</v>
      </c>
      <c r="C29" t="s">
        <v>363</v>
      </c>
      <c r="D29">
        <v>2638.322021484375</v>
      </c>
      <c r="E29" s="3">
        <v>263832.2021484375</v>
      </c>
      <c r="F29">
        <v>0.19405134020920681</v>
      </c>
      <c r="G29">
        <v>6.3226670026779175E-2</v>
      </c>
      <c r="H29">
        <v>0</v>
      </c>
      <c r="I29">
        <v>32.954448699951172</v>
      </c>
      <c r="J29">
        <v>0.78251906017444639</v>
      </c>
      <c r="K29">
        <v>13596</v>
      </c>
      <c r="M29">
        <f t="shared" si="0"/>
        <v>2638.3220214843759</v>
      </c>
      <c r="N29" t="b">
        <f t="shared" si="1"/>
        <v>1</v>
      </c>
    </row>
    <row r="30" spans="1:14" x14ac:dyDescent="0.2">
      <c r="A30" t="s">
        <v>39</v>
      </c>
      <c r="B30" t="s">
        <v>216</v>
      </c>
      <c r="C30" t="s">
        <v>364</v>
      </c>
      <c r="D30">
        <v>2594.882080078125</v>
      </c>
      <c r="E30" s="3">
        <v>259488.2080078125</v>
      </c>
      <c r="F30">
        <v>7.0230650646262993E-2</v>
      </c>
      <c r="G30">
        <v>3.0830179457552731E-4</v>
      </c>
      <c r="H30">
        <v>0</v>
      </c>
      <c r="I30">
        <v>58.158138275146477</v>
      </c>
      <c r="J30">
        <v>0.82933825420579599</v>
      </c>
      <c r="K30">
        <v>36948</v>
      </c>
      <c r="M30">
        <f t="shared" si="0"/>
        <v>2594.882080078125</v>
      </c>
      <c r="N30" t="b">
        <f t="shared" si="1"/>
        <v>1</v>
      </c>
    </row>
    <row r="31" spans="1:14" x14ac:dyDescent="0.2">
      <c r="A31" t="s">
        <v>40</v>
      </c>
      <c r="B31" t="s">
        <v>217</v>
      </c>
      <c r="C31" t="s">
        <v>364</v>
      </c>
      <c r="D31">
        <v>2474.1162109375</v>
      </c>
      <c r="E31" s="3">
        <v>247411.62109375</v>
      </c>
      <c r="F31">
        <v>0.24284611414777191</v>
      </c>
      <c r="G31">
        <v>1.3251557946205139E-2</v>
      </c>
      <c r="H31">
        <v>0</v>
      </c>
      <c r="I31">
        <v>37.848987579345703</v>
      </c>
      <c r="J31">
        <v>0.78782690984286163</v>
      </c>
      <c r="K31">
        <v>10188</v>
      </c>
      <c r="M31">
        <f t="shared" si="0"/>
        <v>2474.1162109375</v>
      </c>
      <c r="N31" t="b">
        <f t="shared" si="1"/>
        <v>1</v>
      </c>
    </row>
    <row r="32" spans="1:14" x14ac:dyDescent="0.2">
      <c r="A32" t="s">
        <v>41</v>
      </c>
      <c r="B32" t="s">
        <v>218</v>
      </c>
      <c r="C32" t="s">
        <v>366</v>
      </c>
      <c r="D32">
        <v>2457.68310546875</v>
      </c>
      <c r="E32" s="3">
        <v>245768.310546875</v>
      </c>
      <c r="F32">
        <v>7.8518972715092405E-3</v>
      </c>
      <c r="G32">
        <v>0</v>
      </c>
      <c r="H32">
        <v>0</v>
      </c>
      <c r="I32">
        <v>23.784431457519531</v>
      </c>
      <c r="J32">
        <v>9.1301378895105562E-2</v>
      </c>
      <c r="K32">
        <v>313005</v>
      </c>
      <c r="M32">
        <f t="shared" si="0"/>
        <v>2457.68310546875</v>
      </c>
      <c r="N32" t="b">
        <f t="shared" si="1"/>
        <v>1</v>
      </c>
    </row>
    <row r="33" spans="1:14" x14ac:dyDescent="0.2">
      <c r="A33" t="s">
        <v>42</v>
      </c>
      <c r="B33" t="s">
        <v>219</v>
      </c>
      <c r="C33" t="s">
        <v>361</v>
      </c>
      <c r="D33">
        <v>1941.114990234375</v>
      </c>
      <c r="E33" s="3">
        <v>194111.4990234375</v>
      </c>
      <c r="F33">
        <v>0.19849831171227891</v>
      </c>
      <c r="G33">
        <v>4.9817571416497231E-3</v>
      </c>
      <c r="H33">
        <v>0</v>
      </c>
      <c r="I33">
        <v>10.22310161590576</v>
      </c>
      <c r="J33">
        <v>0.43981373214030878</v>
      </c>
      <c r="K33">
        <v>9779</v>
      </c>
      <c r="M33">
        <f t="shared" si="0"/>
        <v>1941.1149902343755</v>
      </c>
      <c r="N33" t="b">
        <f t="shared" si="1"/>
        <v>1</v>
      </c>
    </row>
    <row r="34" spans="1:14" x14ac:dyDescent="0.2">
      <c r="A34" t="s">
        <v>43</v>
      </c>
      <c r="B34" t="s">
        <v>220</v>
      </c>
      <c r="C34" t="s">
        <v>363</v>
      </c>
      <c r="D34">
        <v>1842.905639648438</v>
      </c>
      <c r="E34" s="3">
        <v>184290.56396484381</v>
      </c>
      <c r="F34">
        <v>0.1364003878061163</v>
      </c>
      <c r="G34">
        <v>3.4085590392351151E-2</v>
      </c>
      <c r="H34">
        <v>0</v>
      </c>
      <c r="I34">
        <v>10.627126693725589</v>
      </c>
      <c r="J34">
        <v>0.44569323041890702</v>
      </c>
      <c r="K34">
        <v>13511</v>
      </c>
      <c r="M34">
        <f t="shared" si="0"/>
        <v>1842.9056396484373</v>
      </c>
      <c r="N34" t="b">
        <f t="shared" si="1"/>
        <v>1</v>
      </c>
    </row>
    <row r="35" spans="1:14" x14ac:dyDescent="0.2">
      <c r="A35" t="s">
        <v>44</v>
      </c>
      <c r="B35" t="s">
        <v>221</v>
      </c>
      <c r="C35" t="s">
        <v>363</v>
      </c>
      <c r="D35">
        <v>1483.062377929688</v>
      </c>
      <c r="E35" s="3">
        <v>148306.23779296881</v>
      </c>
      <c r="F35">
        <v>0.56454601367707935</v>
      </c>
      <c r="G35">
        <v>0.10930564999580381</v>
      </c>
      <c r="H35">
        <v>0</v>
      </c>
      <c r="I35">
        <v>27.27467155456543</v>
      </c>
      <c r="J35">
        <v>1.931206148486974</v>
      </c>
      <c r="K35">
        <v>2627</v>
      </c>
      <c r="M35">
        <f t="shared" si="0"/>
        <v>1483.0623779296875</v>
      </c>
      <c r="N35" t="b">
        <f t="shared" si="1"/>
        <v>1</v>
      </c>
    </row>
    <row r="36" spans="1:14" x14ac:dyDescent="0.2">
      <c r="A36" t="s">
        <v>45</v>
      </c>
      <c r="B36" t="s">
        <v>222</v>
      </c>
      <c r="C36" t="s">
        <v>365</v>
      </c>
      <c r="D36">
        <v>1452.196044921875</v>
      </c>
      <c r="E36" s="3">
        <v>145219.6044921875</v>
      </c>
      <c r="F36">
        <v>0.15008227004153321</v>
      </c>
      <c r="G36">
        <v>4.2852004989981651E-3</v>
      </c>
      <c r="H36">
        <v>0</v>
      </c>
      <c r="I36">
        <v>97.6707763671875</v>
      </c>
      <c r="J36">
        <v>1.354457327882886</v>
      </c>
      <c r="K36">
        <v>9676</v>
      </c>
      <c r="M36">
        <f t="shared" si="0"/>
        <v>1452.1960449218755</v>
      </c>
      <c r="N36" t="b">
        <f t="shared" si="1"/>
        <v>1</v>
      </c>
    </row>
    <row r="37" spans="1:14" x14ac:dyDescent="0.2">
      <c r="A37" t="s">
        <v>46</v>
      </c>
      <c r="B37" t="s">
        <v>223</v>
      </c>
      <c r="C37" t="s">
        <v>363</v>
      </c>
      <c r="D37">
        <v>1450.610473632812</v>
      </c>
      <c r="E37" s="3">
        <v>145061.04736328119</v>
      </c>
      <c r="F37">
        <v>1.0511670098788499</v>
      </c>
      <c r="G37">
        <v>5.9524986892938607E-2</v>
      </c>
      <c r="H37">
        <v>0</v>
      </c>
      <c r="I37">
        <v>605.27130126953125</v>
      </c>
      <c r="J37">
        <v>20.274699874339259</v>
      </c>
      <c r="K37">
        <v>1380</v>
      </c>
      <c r="M37">
        <f t="shared" si="0"/>
        <v>1450.610473632813</v>
      </c>
      <c r="N37" t="b">
        <f t="shared" si="1"/>
        <v>1</v>
      </c>
    </row>
    <row r="38" spans="1:14" x14ac:dyDescent="0.2">
      <c r="A38" t="s">
        <v>47</v>
      </c>
      <c r="B38" t="s">
        <v>224</v>
      </c>
      <c r="C38" t="s">
        <v>363</v>
      </c>
      <c r="D38">
        <v>1253.5107421875</v>
      </c>
      <c r="E38" s="3">
        <v>125351.07421875</v>
      </c>
      <c r="F38">
        <v>2.1464225037457192</v>
      </c>
      <c r="G38">
        <v>2.338016271591187</v>
      </c>
      <c r="H38">
        <v>0</v>
      </c>
      <c r="I38">
        <v>4.8297419548034668</v>
      </c>
      <c r="J38">
        <v>0.98812352435971795</v>
      </c>
      <c r="K38">
        <v>584</v>
      </c>
      <c r="M38">
        <f t="shared" si="0"/>
        <v>1253.5107421875</v>
      </c>
      <c r="N38" t="b">
        <f t="shared" si="1"/>
        <v>1</v>
      </c>
    </row>
    <row r="39" spans="1:14" x14ac:dyDescent="0.2">
      <c r="A39" t="s">
        <v>48</v>
      </c>
      <c r="B39" t="s">
        <v>225</v>
      </c>
      <c r="C39" t="s">
        <v>363</v>
      </c>
      <c r="D39">
        <v>1222.890747070312</v>
      </c>
      <c r="E39" s="3">
        <v>122289.07470703121</v>
      </c>
      <c r="F39">
        <v>1.8647596746981691E-2</v>
      </c>
      <c r="G39">
        <v>1.446828828193247E-4</v>
      </c>
      <c r="H39">
        <v>0</v>
      </c>
      <c r="I39">
        <v>278.68341064453119</v>
      </c>
      <c r="J39">
        <v>1.479011965703624</v>
      </c>
      <c r="K39">
        <v>65579</v>
      </c>
      <c r="M39">
        <f t="shared" si="0"/>
        <v>1222.8907470703123</v>
      </c>
      <c r="N39" t="b">
        <f t="shared" si="1"/>
        <v>1</v>
      </c>
    </row>
    <row r="40" spans="1:14" x14ac:dyDescent="0.2">
      <c r="A40" t="s">
        <v>49</v>
      </c>
      <c r="B40" t="s">
        <v>226</v>
      </c>
      <c r="C40" t="s">
        <v>361</v>
      </c>
      <c r="D40">
        <v>1215.86572265625</v>
      </c>
      <c r="E40" s="3">
        <v>121586.572265625</v>
      </c>
      <c r="F40">
        <v>2.4588277268625249E-2</v>
      </c>
      <c r="G40">
        <v>1.3687736354768281E-3</v>
      </c>
      <c r="H40">
        <v>0</v>
      </c>
      <c r="I40">
        <v>68.868301391601562</v>
      </c>
      <c r="J40">
        <v>0.3616299220208582</v>
      </c>
      <c r="K40">
        <v>49449</v>
      </c>
      <c r="M40">
        <f t="shared" si="0"/>
        <v>1215.86572265625</v>
      </c>
      <c r="N40" t="b">
        <f t="shared" si="1"/>
        <v>1</v>
      </c>
    </row>
    <row r="41" spans="1:14" x14ac:dyDescent="0.2">
      <c r="A41" t="s">
        <v>50</v>
      </c>
      <c r="B41" t="s">
        <v>227</v>
      </c>
      <c r="C41" t="s">
        <v>361</v>
      </c>
      <c r="D41">
        <v>1171.972778320312</v>
      </c>
      <c r="E41" s="3">
        <v>117197.27783203121</v>
      </c>
      <c r="F41">
        <v>1.1523822795676619</v>
      </c>
      <c r="G41">
        <v>5.2924826741218567E-3</v>
      </c>
      <c r="H41">
        <v>0</v>
      </c>
      <c r="I41">
        <v>64.738021850585938</v>
      </c>
      <c r="J41">
        <v>7.056451925385935</v>
      </c>
      <c r="K41">
        <v>1017</v>
      </c>
      <c r="M41">
        <f t="shared" si="0"/>
        <v>1171.9727783203123</v>
      </c>
      <c r="N41" t="b">
        <f t="shared" si="1"/>
        <v>1</v>
      </c>
    </row>
    <row r="42" spans="1:14" x14ac:dyDescent="0.2">
      <c r="A42" t="s">
        <v>51</v>
      </c>
      <c r="B42" t="s">
        <v>228</v>
      </c>
      <c r="C42" t="s">
        <v>363</v>
      </c>
      <c r="D42">
        <v>1144.435913085938</v>
      </c>
      <c r="E42" s="3">
        <v>114443.59130859379</v>
      </c>
      <c r="F42">
        <v>4.1634018956851628E-2</v>
      </c>
      <c r="G42">
        <v>7.4617350473999977E-3</v>
      </c>
      <c r="H42">
        <v>0</v>
      </c>
      <c r="I42">
        <v>4.0111088752746582</v>
      </c>
      <c r="J42">
        <v>0.13220533632813161</v>
      </c>
      <c r="K42">
        <v>27488</v>
      </c>
      <c r="M42">
        <f t="shared" si="0"/>
        <v>1144.4359130859375</v>
      </c>
      <c r="N42" t="b">
        <f t="shared" si="1"/>
        <v>1</v>
      </c>
    </row>
    <row r="43" spans="1:14" x14ac:dyDescent="0.2">
      <c r="A43" t="s">
        <v>52</v>
      </c>
      <c r="B43" t="s">
        <v>229</v>
      </c>
      <c r="C43" t="s">
        <v>363</v>
      </c>
      <c r="D43">
        <v>1121.187255859375</v>
      </c>
      <c r="E43" s="3">
        <v>112118.7255859375</v>
      </c>
      <c r="F43">
        <v>3.5300754253939581E-2</v>
      </c>
      <c r="G43">
        <v>2.6798062026500702E-3</v>
      </c>
      <c r="H43">
        <v>0</v>
      </c>
      <c r="I43">
        <v>79.299354553222656</v>
      </c>
      <c r="J43">
        <v>0.6722386204594677</v>
      </c>
      <c r="K43">
        <v>31761</v>
      </c>
      <c r="M43">
        <f t="shared" si="0"/>
        <v>1121.187255859375</v>
      </c>
      <c r="N43" t="b">
        <f t="shared" si="1"/>
        <v>1</v>
      </c>
    </row>
    <row r="44" spans="1:14" x14ac:dyDescent="0.2">
      <c r="A44" t="s">
        <v>53</v>
      </c>
      <c r="B44" t="s">
        <v>230</v>
      </c>
      <c r="C44" t="s">
        <v>365</v>
      </c>
      <c r="D44">
        <v>1074.485595703125</v>
      </c>
      <c r="E44" s="3">
        <v>107448.5595703125</v>
      </c>
      <c r="F44">
        <v>8.6876260972115538E-2</v>
      </c>
      <c r="G44">
        <v>4.1937045753002167E-2</v>
      </c>
      <c r="H44">
        <v>0</v>
      </c>
      <c r="I44">
        <v>8.4128828048706055</v>
      </c>
      <c r="J44">
        <v>0.2286866774982752</v>
      </c>
      <c r="K44">
        <v>12368</v>
      </c>
      <c r="M44">
        <f t="shared" si="0"/>
        <v>1074.485595703125</v>
      </c>
      <c r="N44" t="b">
        <f t="shared" si="1"/>
        <v>1</v>
      </c>
    </row>
    <row r="45" spans="1:14" x14ac:dyDescent="0.2">
      <c r="A45" t="s">
        <v>54</v>
      </c>
      <c r="B45" t="s">
        <v>231</v>
      </c>
      <c r="C45" t="s">
        <v>361</v>
      </c>
      <c r="D45">
        <v>1036.896484375</v>
      </c>
      <c r="E45" s="3">
        <v>103689.6484375</v>
      </c>
      <c r="F45">
        <v>2.8206427582900359E-2</v>
      </c>
      <c r="G45">
        <v>5.0782887265086174E-3</v>
      </c>
      <c r="H45">
        <v>0</v>
      </c>
      <c r="I45">
        <v>56.995937347412109</v>
      </c>
      <c r="J45">
        <v>0.58796936461881755</v>
      </c>
      <c r="K45">
        <v>36761</v>
      </c>
      <c r="M45">
        <f t="shared" si="0"/>
        <v>1036.896484375</v>
      </c>
      <c r="N45" t="b">
        <f t="shared" si="1"/>
        <v>1</v>
      </c>
    </row>
    <row r="46" spans="1:14" x14ac:dyDescent="0.2">
      <c r="A46" t="s">
        <v>55</v>
      </c>
      <c r="B46" t="s">
        <v>232</v>
      </c>
      <c r="C46" t="s">
        <v>361</v>
      </c>
      <c r="D46">
        <v>1034.205932617188</v>
      </c>
      <c r="E46" s="3">
        <v>103420.59326171879</v>
      </c>
      <c r="F46">
        <v>0.27059286567691981</v>
      </c>
      <c r="G46">
        <v>0.22969846427440641</v>
      </c>
      <c r="H46">
        <v>0</v>
      </c>
      <c r="I46">
        <v>22.666877746582031</v>
      </c>
      <c r="J46">
        <v>0.59767287287452397</v>
      </c>
      <c r="K46">
        <v>3822</v>
      </c>
      <c r="M46">
        <f t="shared" si="0"/>
        <v>1034.2059326171875</v>
      </c>
      <c r="N46" t="b">
        <f t="shared" si="1"/>
        <v>1</v>
      </c>
    </row>
    <row r="47" spans="1:14" x14ac:dyDescent="0.2">
      <c r="A47" t="s">
        <v>56</v>
      </c>
      <c r="B47" t="s">
        <v>233</v>
      </c>
      <c r="C47" t="s">
        <v>362</v>
      </c>
      <c r="D47">
        <v>987.3526611328125</v>
      </c>
      <c r="E47" s="3">
        <v>98735.26611328125</v>
      </c>
      <c r="F47">
        <v>0.32276974865407398</v>
      </c>
      <c r="G47">
        <v>1.0491679422557351E-2</v>
      </c>
      <c r="H47">
        <v>0</v>
      </c>
      <c r="I47">
        <v>12.924211502075201</v>
      </c>
      <c r="J47">
        <v>1.2503651846663479</v>
      </c>
      <c r="K47">
        <v>3059</v>
      </c>
      <c r="M47">
        <f t="shared" si="0"/>
        <v>987.35266113281227</v>
      </c>
      <c r="N47" t="b">
        <f t="shared" si="1"/>
        <v>0</v>
      </c>
    </row>
    <row r="48" spans="1:14" x14ac:dyDescent="0.2">
      <c r="A48" t="s">
        <v>57</v>
      </c>
      <c r="B48" t="s">
        <v>234</v>
      </c>
      <c r="C48" t="s">
        <v>363</v>
      </c>
      <c r="D48">
        <v>906.0423583984375</v>
      </c>
      <c r="E48" s="3">
        <v>90604.23583984375</v>
      </c>
      <c r="F48">
        <v>2.548212280342101E-2</v>
      </c>
      <c r="G48">
        <v>3.4621697850525379E-3</v>
      </c>
      <c r="H48">
        <v>0</v>
      </c>
      <c r="I48">
        <v>63.077896118164062</v>
      </c>
      <c r="J48">
        <v>0.42391661906751532</v>
      </c>
      <c r="K48">
        <v>35556</v>
      </c>
      <c r="M48">
        <f t="shared" si="0"/>
        <v>906.04235839843739</v>
      </c>
      <c r="N48" t="b">
        <f t="shared" si="1"/>
        <v>0</v>
      </c>
    </row>
    <row r="49" spans="1:14" x14ac:dyDescent="0.2">
      <c r="A49" t="s">
        <v>58</v>
      </c>
      <c r="B49" t="s">
        <v>235</v>
      </c>
      <c r="C49" t="s">
        <v>361</v>
      </c>
      <c r="D49">
        <v>905.98272705078125</v>
      </c>
      <c r="E49" s="3">
        <v>90598.272705078125</v>
      </c>
      <c r="F49">
        <v>9.3409911026990547E-2</v>
      </c>
      <c r="G49">
        <v>1.365470932796597E-3</v>
      </c>
      <c r="H49">
        <v>0</v>
      </c>
      <c r="I49">
        <v>30.241640090942379</v>
      </c>
      <c r="J49">
        <v>0.79406842386767884</v>
      </c>
      <c r="K49">
        <v>9699</v>
      </c>
      <c r="M49">
        <f t="shared" si="0"/>
        <v>905.98272705078136</v>
      </c>
      <c r="N49" t="b">
        <f t="shared" si="1"/>
        <v>1</v>
      </c>
    </row>
    <row r="50" spans="1:14" x14ac:dyDescent="0.2">
      <c r="A50" t="s">
        <v>59</v>
      </c>
      <c r="B50" t="s">
        <v>236</v>
      </c>
      <c r="C50" t="s">
        <v>362</v>
      </c>
      <c r="D50">
        <v>882.91705322265625</v>
      </c>
      <c r="E50" s="3">
        <v>88291.705322265625</v>
      </c>
      <c r="F50">
        <v>0.19752059356211549</v>
      </c>
      <c r="G50">
        <v>3.8224760442972183E-2</v>
      </c>
      <c r="H50">
        <v>0</v>
      </c>
      <c r="I50">
        <v>62.496013641357422</v>
      </c>
      <c r="J50">
        <v>1.298342841990872</v>
      </c>
      <c r="K50">
        <v>4470</v>
      </c>
      <c r="M50">
        <f t="shared" si="0"/>
        <v>882.91705322265625</v>
      </c>
      <c r="N50" t="b">
        <f t="shared" si="1"/>
        <v>1</v>
      </c>
    </row>
    <row r="51" spans="1:14" x14ac:dyDescent="0.2">
      <c r="A51" t="s">
        <v>60</v>
      </c>
      <c r="B51" t="s">
        <v>237</v>
      </c>
      <c r="C51" t="s">
        <v>361</v>
      </c>
      <c r="D51">
        <v>873.33935546875</v>
      </c>
      <c r="E51" s="3">
        <v>87333.935546875</v>
      </c>
      <c r="F51">
        <v>9.7907999492012329E-2</v>
      </c>
      <c r="G51">
        <v>5.904126912355423E-3</v>
      </c>
      <c r="H51">
        <v>0</v>
      </c>
      <c r="I51">
        <v>16.250116348266602</v>
      </c>
      <c r="J51">
        <v>0.63981458287711868</v>
      </c>
      <c r="K51">
        <v>8920</v>
      </c>
      <c r="M51">
        <f t="shared" si="0"/>
        <v>873.33935546875</v>
      </c>
      <c r="N51" t="b">
        <f t="shared" si="1"/>
        <v>1</v>
      </c>
    </row>
    <row r="52" spans="1:14" x14ac:dyDescent="0.2">
      <c r="A52" t="s">
        <v>61</v>
      </c>
      <c r="B52" t="s">
        <v>238</v>
      </c>
      <c r="C52" t="s">
        <v>366</v>
      </c>
      <c r="D52">
        <v>869.76019287109375</v>
      </c>
      <c r="E52" s="3">
        <v>86976.019287109375</v>
      </c>
      <c r="F52">
        <v>1.2460747748869541</v>
      </c>
      <c r="G52">
        <v>1.738385915756226</v>
      </c>
      <c r="H52">
        <v>0</v>
      </c>
      <c r="I52">
        <v>3.912297248840332</v>
      </c>
      <c r="J52">
        <v>1.1037373632404091</v>
      </c>
      <c r="K52">
        <v>698</v>
      </c>
      <c r="M52">
        <f t="shared" si="0"/>
        <v>869.76019287109398</v>
      </c>
      <c r="N52" t="b">
        <f t="shared" si="1"/>
        <v>1</v>
      </c>
    </row>
    <row r="53" spans="1:14" x14ac:dyDescent="0.2">
      <c r="A53" t="s">
        <v>62</v>
      </c>
      <c r="B53" t="s">
        <v>239</v>
      </c>
      <c r="C53" t="s">
        <v>365</v>
      </c>
      <c r="D53">
        <v>787.2431640625</v>
      </c>
      <c r="E53" s="3">
        <v>78724.31640625</v>
      </c>
      <c r="F53">
        <v>3.9007192749108119E-2</v>
      </c>
      <c r="G53">
        <v>1.9834546372294429E-2</v>
      </c>
      <c r="H53">
        <v>0</v>
      </c>
      <c r="I53">
        <v>5.0945825576782227</v>
      </c>
      <c r="J53">
        <v>0.11947845981233809</v>
      </c>
      <c r="K53">
        <v>20182</v>
      </c>
      <c r="M53">
        <f t="shared" si="0"/>
        <v>787.2431640625</v>
      </c>
      <c r="N53" t="b">
        <f t="shared" si="1"/>
        <v>1</v>
      </c>
    </row>
    <row r="54" spans="1:14" x14ac:dyDescent="0.2">
      <c r="A54" t="s">
        <v>63</v>
      </c>
      <c r="B54" t="s">
        <v>240</v>
      </c>
      <c r="C54" t="s">
        <v>363</v>
      </c>
      <c r="D54">
        <v>764.2469482421875</v>
      </c>
      <c r="E54" s="3">
        <v>76424.69482421875</v>
      </c>
      <c r="F54">
        <v>0.19530972354770959</v>
      </c>
      <c r="G54">
        <v>4.3414197862148276E-3</v>
      </c>
      <c r="H54">
        <v>0</v>
      </c>
      <c r="I54">
        <v>277.74935913085938</v>
      </c>
      <c r="J54">
        <v>4.6392853536863408</v>
      </c>
      <c r="K54">
        <v>3913</v>
      </c>
      <c r="M54">
        <f t="shared" si="0"/>
        <v>764.24694824218761</v>
      </c>
      <c r="N54" t="b">
        <f t="shared" si="1"/>
        <v>1</v>
      </c>
    </row>
    <row r="55" spans="1:14" x14ac:dyDescent="0.2">
      <c r="A55" t="s">
        <v>64</v>
      </c>
      <c r="B55" t="s">
        <v>241</v>
      </c>
      <c r="C55" t="s">
        <v>362</v>
      </c>
      <c r="D55">
        <v>752.72100830078125</v>
      </c>
      <c r="E55" s="3">
        <v>75272.100830078125</v>
      </c>
      <c r="F55">
        <v>0.16243439971963339</v>
      </c>
      <c r="G55">
        <v>9.9113732576370239E-3</v>
      </c>
      <c r="H55">
        <v>0</v>
      </c>
      <c r="I55">
        <v>26.995107650756839</v>
      </c>
      <c r="J55">
        <v>1.1011754927214921</v>
      </c>
      <c r="K55">
        <v>4634</v>
      </c>
      <c r="M55">
        <f t="shared" si="0"/>
        <v>752.72100830078114</v>
      </c>
      <c r="N55" t="b">
        <f t="shared" si="1"/>
        <v>1</v>
      </c>
    </row>
    <row r="56" spans="1:14" x14ac:dyDescent="0.2">
      <c r="A56" t="s">
        <v>65</v>
      </c>
      <c r="B56" t="s">
        <v>242</v>
      </c>
      <c r="C56" t="s">
        <v>364</v>
      </c>
      <c r="D56">
        <v>721.45733642578125</v>
      </c>
      <c r="E56" s="3">
        <v>72145.733642578125</v>
      </c>
      <c r="F56">
        <v>1.6326257896034879E-2</v>
      </c>
      <c r="G56">
        <v>0</v>
      </c>
      <c r="H56">
        <v>0</v>
      </c>
      <c r="I56">
        <v>41.050022125244141</v>
      </c>
      <c r="J56">
        <v>0.28146960301541257</v>
      </c>
      <c r="K56">
        <v>44190</v>
      </c>
      <c r="M56">
        <f t="shared" si="0"/>
        <v>721.45733642578125</v>
      </c>
      <c r="N56" t="b">
        <f t="shared" si="1"/>
        <v>1</v>
      </c>
    </row>
    <row r="57" spans="1:14" x14ac:dyDescent="0.2">
      <c r="A57" t="s">
        <v>66</v>
      </c>
      <c r="B57" t="s">
        <v>243</v>
      </c>
      <c r="C57" t="s">
        <v>363</v>
      </c>
      <c r="D57">
        <v>623.8570556640625</v>
      </c>
      <c r="E57" s="3">
        <v>62385.70556640625</v>
      </c>
      <c r="F57">
        <v>8.5133331831886261E-2</v>
      </c>
      <c r="G57">
        <v>4.8689804971218109E-2</v>
      </c>
      <c r="H57">
        <v>0</v>
      </c>
      <c r="I57">
        <v>11.46722984313965</v>
      </c>
      <c r="J57">
        <v>0.25256457304262547</v>
      </c>
      <c r="K57">
        <v>7328</v>
      </c>
      <c r="M57">
        <f t="shared" si="0"/>
        <v>623.8570556640625</v>
      </c>
      <c r="N57" t="b">
        <f t="shared" si="1"/>
        <v>1</v>
      </c>
    </row>
    <row r="58" spans="1:14" x14ac:dyDescent="0.2">
      <c r="A58" t="s">
        <v>67</v>
      </c>
      <c r="B58" t="s">
        <v>244</v>
      </c>
      <c r="C58" t="s">
        <v>366</v>
      </c>
      <c r="D58">
        <v>598.42889404296875</v>
      </c>
      <c r="E58" s="3">
        <v>59842.889404296882</v>
      </c>
      <c r="F58">
        <v>3.2121787119858761E-2</v>
      </c>
      <c r="G58">
        <v>5.2093400154262781E-4</v>
      </c>
      <c r="H58">
        <v>0</v>
      </c>
      <c r="I58">
        <v>17.721382141113281</v>
      </c>
      <c r="J58">
        <v>0.4827422323632326</v>
      </c>
      <c r="K58">
        <v>18630</v>
      </c>
      <c r="M58">
        <f t="shared" si="0"/>
        <v>598.42889404296875</v>
      </c>
      <c r="N58" t="b">
        <f t="shared" si="1"/>
        <v>1</v>
      </c>
    </row>
    <row r="59" spans="1:14" x14ac:dyDescent="0.2">
      <c r="A59" t="s">
        <v>68</v>
      </c>
      <c r="B59" t="s">
        <v>245</v>
      </c>
      <c r="C59" t="s">
        <v>365</v>
      </c>
      <c r="D59">
        <v>556.44427490234375</v>
      </c>
      <c r="E59" s="3">
        <v>55644.427490234382</v>
      </c>
      <c r="F59">
        <v>0.14799049864424041</v>
      </c>
      <c r="G59">
        <v>1.9906749948859211E-2</v>
      </c>
      <c r="H59">
        <v>0</v>
      </c>
      <c r="I59">
        <v>186.23182678222659</v>
      </c>
      <c r="J59">
        <v>4.1859419734978962</v>
      </c>
      <c r="K59">
        <v>3760</v>
      </c>
      <c r="M59">
        <f t="shared" si="0"/>
        <v>556.44427490234398</v>
      </c>
      <c r="N59" t="b">
        <f t="shared" si="1"/>
        <v>1</v>
      </c>
    </row>
    <row r="60" spans="1:14" x14ac:dyDescent="0.2">
      <c r="A60" t="s">
        <v>69</v>
      </c>
      <c r="B60" t="s">
        <v>246</v>
      </c>
      <c r="C60" t="s">
        <v>361</v>
      </c>
      <c r="D60">
        <v>538.27716064453125</v>
      </c>
      <c r="E60" s="3">
        <v>53827.716064453118</v>
      </c>
      <c r="F60">
        <v>2.2639517187269989E-2</v>
      </c>
      <c r="G60">
        <v>2.235994616057724E-4</v>
      </c>
      <c r="H60">
        <v>0</v>
      </c>
      <c r="I60">
        <v>17.915519714355469</v>
      </c>
      <c r="J60">
        <v>0.31947252565947432</v>
      </c>
      <c r="K60">
        <v>23776</v>
      </c>
      <c r="M60">
        <f t="shared" si="0"/>
        <v>538.27716064453125</v>
      </c>
      <c r="N60" t="b">
        <f t="shared" si="1"/>
        <v>1</v>
      </c>
    </row>
    <row r="61" spans="1:14" x14ac:dyDescent="0.2">
      <c r="A61" t="s">
        <v>70</v>
      </c>
      <c r="B61" t="s">
        <v>247</v>
      </c>
      <c r="C61" t="s">
        <v>365</v>
      </c>
      <c r="D61">
        <v>524.51556396484375</v>
      </c>
      <c r="E61" s="3">
        <v>52451.556396484382</v>
      </c>
      <c r="F61">
        <v>2.0280538373925829E-2</v>
      </c>
      <c r="G61">
        <v>2.2867547813802962E-3</v>
      </c>
      <c r="H61">
        <v>0</v>
      </c>
      <c r="I61">
        <v>1.5508279800415039</v>
      </c>
      <c r="J61">
        <v>0.1167739660357701</v>
      </c>
      <c r="K61">
        <v>25863</v>
      </c>
      <c r="M61">
        <f t="shared" si="0"/>
        <v>524.51556396484375</v>
      </c>
      <c r="N61" t="b">
        <f t="shared" si="1"/>
        <v>1</v>
      </c>
    </row>
    <row r="62" spans="1:14" x14ac:dyDescent="0.2">
      <c r="A62" t="s">
        <v>71</v>
      </c>
      <c r="B62" t="s">
        <v>248</v>
      </c>
      <c r="C62" t="s">
        <v>362</v>
      </c>
      <c r="D62">
        <v>477.51397705078119</v>
      </c>
      <c r="E62" s="3">
        <v>47751.397705078118</v>
      </c>
      <c r="F62">
        <v>0.98456490113563144</v>
      </c>
      <c r="G62">
        <v>0.28438511490821838</v>
      </c>
      <c r="H62">
        <v>0</v>
      </c>
      <c r="I62">
        <v>106.9348220825195</v>
      </c>
      <c r="J62">
        <v>4.9387762897437399</v>
      </c>
      <c r="K62">
        <v>485</v>
      </c>
      <c r="M62">
        <f t="shared" si="0"/>
        <v>477.51397705078125</v>
      </c>
      <c r="N62" t="b">
        <f t="shared" si="1"/>
        <v>1</v>
      </c>
    </row>
    <row r="63" spans="1:14" x14ac:dyDescent="0.2">
      <c r="A63" t="s">
        <v>72</v>
      </c>
      <c r="B63" t="s">
        <v>249</v>
      </c>
      <c r="C63" t="s">
        <v>362</v>
      </c>
      <c r="D63">
        <v>462.90847778320312</v>
      </c>
      <c r="E63" s="3">
        <v>46290.847778320312</v>
      </c>
      <c r="F63">
        <v>1.2377232026288849</v>
      </c>
      <c r="G63">
        <v>0.39409106969833368</v>
      </c>
      <c r="H63">
        <v>0</v>
      </c>
      <c r="I63">
        <v>11.6261739730835</v>
      </c>
      <c r="J63">
        <v>1.957590928782162</v>
      </c>
      <c r="K63">
        <v>374</v>
      </c>
      <c r="M63">
        <f>K63*F63</f>
        <v>462.90847778320295</v>
      </c>
      <c r="N63" t="b">
        <f t="shared" si="1"/>
        <v>1</v>
      </c>
    </row>
    <row r="64" spans="1:14" x14ac:dyDescent="0.2">
      <c r="A64" t="s">
        <v>73</v>
      </c>
      <c r="B64" t="s">
        <v>250</v>
      </c>
      <c r="C64" t="s">
        <v>364</v>
      </c>
      <c r="D64">
        <v>460.87176513671881</v>
      </c>
      <c r="E64" s="3">
        <v>46087.176513671882</v>
      </c>
      <c r="F64">
        <v>1.443788619205911E-2</v>
      </c>
      <c r="G64">
        <v>0</v>
      </c>
      <c r="H64">
        <v>0</v>
      </c>
      <c r="I64">
        <v>8.5642299652099609</v>
      </c>
      <c r="J64">
        <v>0.1659717165008528</v>
      </c>
      <c r="K64">
        <v>31921</v>
      </c>
      <c r="M64">
        <f t="shared" si="0"/>
        <v>460.87176513671886</v>
      </c>
      <c r="N64" t="b">
        <f t="shared" si="1"/>
        <v>1</v>
      </c>
    </row>
    <row r="65" spans="1:14" x14ac:dyDescent="0.2">
      <c r="A65" t="s">
        <v>74</v>
      </c>
      <c r="B65" t="s">
        <v>251</v>
      </c>
      <c r="C65" t="s">
        <v>363</v>
      </c>
      <c r="D65">
        <v>454.64865112304688</v>
      </c>
      <c r="E65" s="3">
        <v>45464.865112304688</v>
      </c>
      <c r="F65">
        <v>3.073196235791854E-2</v>
      </c>
      <c r="G65">
        <v>3.31693678162992E-3</v>
      </c>
      <c r="H65">
        <v>0</v>
      </c>
      <c r="I65">
        <v>1.473006010055542</v>
      </c>
      <c r="J65">
        <v>9.858834383865378E-2</v>
      </c>
      <c r="K65">
        <v>14794</v>
      </c>
      <c r="M65">
        <f t="shared" si="0"/>
        <v>454.64865112304688</v>
      </c>
      <c r="N65" t="b">
        <f t="shared" si="1"/>
        <v>1</v>
      </c>
    </row>
    <row r="66" spans="1:14" x14ac:dyDescent="0.2">
      <c r="A66" t="s">
        <v>75</v>
      </c>
      <c r="B66" t="s">
        <v>252</v>
      </c>
      <c r="C66" t="s">
        <v>363</v>
      </c>
      <c r="D66">
        <v>447.60659790039062</v>
      </c>
      <c r="E66" s="3">
        <v>44760.659790039062</v>
      </c>
      <c r="F66">
        <v>8.2310885969178127E-2</v>
      </c>
      <c r="G66">
        <v>4.8711400479078293E-2</v>
      </c>
      <c r="H66">
        <v>0</v>
      </c>
      <c r="I66">
        <v>2.8662846088409419</v>
      </c>
      <c r="J66">
        <v>0.21638306418552869</v>
      </c>
      <c r="K66">
        <v>5438</v>
      </c>
      <c r="M66">
        <f t="shared" si="0"/>
        <v>447.60659790039068</v>
      </c>
      <c r="N66" t="b">
        <f t="shared" si="1"/>
        <v>1</v>
      </c>
    </row>
    <row r="67" spans="1:14" x14ac:dyDescent="0.2">
      <c r="A67" t="s">
        <v>76</v>
      </c>
      <c r="B67" t="s">
        <v>253</v>
      </c>
      <c r="C67" t="s">
        <v>361</v>
      </c>
      <c r="D67">
        <v>426.48721313476562</v>
      </c>
      <c r="E67" s="3">
        <v>42648.721313476562</v>
      </c>
      <c r="F67">
        <v>0.14140822716669951</v>
      </c>
      <c r="G67">
        <v>0.1189673468470573</v>
      </c>
      <c r="H67">
        <v>0</v>
      </c>
      <c r="I67">
        <v>3.3554103374481201</v>
      </c>
      <c r="J67">
        <v>0.16620066687305771</v>
      </c>
      <c r="K67">
        <v>3016</v>
      </c>
      <c r="M67">
        <f t="shared" ref="M67:M85" si="2">K67*F67</f>
        <v>426.48721313476574</v>
      </c>
      <c r="N67" t="b">
        <f t="shared" ref="N67:N130" si="3">M67=D67</f>
        <v>1</v>
      </c>
    </row>
    <row r="68" spans="1:14" x14ac:dyDescent="0.2">
      <c r="A68" t="s">
        <v>77</v>
      </c>
      <c r="B68" t="s">
        <v>254</v>
      </c>
      <c r="C68" t="s">
        <v>363</v>
      </c>
      <c r="D68">
        <v>411.10519409179688</v>
      </c>
      <c r="E68" s="3">
        <v>41110.519409179688</v>
      </c>
      <c r="F68">
        <v>2.3169993467384149E-2</v>
      </c>
      <c r="G68">
        <v>1.446828828193247E-4</v>
      </c>
      <c r="H68">
        <v>0</v>
      </c>
      <c r="I68">
        <v>7.1724066734313956</v>
      </c>
      <c r="J68">
        <v>0.17276956289155479</v>
      </c>
      <c r="K68">
        <v>17743</v>
      </c>
      <c r="M68">
        <f t="shared" si="2"/>
        <v>411.10519409179693</v>
      </c>
      <c r="N68" t="b">
        <f t="shared" si="3"/>
        <v>1</v>
      </c>
    </row>
    <row r="69" spans="1:14" x14ac:dyDescent="0.2">
      <c r="A69" t="s">
        <v>78</v>
      </c>
      <c r="B69" t="s">
        <v>255</v>
      </c>
      <c r="C69" t="s">
        <v>361</v>
      </c>
      <c r="D69">
        <v>387.72900390625</v>
      </c>
      <c r="E69" s="3">
        <v>38772.900390625</v>
      </c>
      <c r="F69">
        <v>0.40515047430120171</v>
      </c>
      <c r="G69">
        <v>0.17413341999053961</v>
      </c>
      <c r="H69">
        <v>0</v>
      </c>
      <c r="I69">
        <v>10.95843505859375</v>
      </c>
      <c r="J69">
        <v>0.8176890304636284</v>
      </c>
      <c r="K69">
        <v>957</v>
      </c>
      <c r="M69">
        <f t="shared" si="2"/>
        <v>387.72900390625006</v>
      </c>
      <c r="N69" t="b">
        <f t="shared" si="3"/>
        <v>1</v>
      </c>
    </row>
    <row r="70" spans="1:14" x14ac:dyDescent="0.2">
      <c r="A70" t="s">
        <v>79</v>
      </c>
      <c r="B70" t="s">
        <v>256</v>
      </c>
      <c r="C70" t="s">
        <v>365</v>
      </c>
      <c r="D70">
        <v>367.45315551757812</v>
      </c>
      <c r="E70" s="3">
        <v>36745.315551757812</v>
      </c>
      <c r="F70">
        <v>2.6784252169806701E-2</v>
      </c>
      <c r="G70">
        <v>5.981615322525613E-5</v>
      </c>
      <c r="H70">
        <v>0</v>
      </c>
      <c r="I70">
        <v>0.73226052522659302</v>
      </c>
      <c r="J70">
        <v>6.8470740586094689E-2</v>
      </c>
      <c r="K70">
        <v>13719</v>
      </c>
      <c r="M70">
        <f t="shared" si="2"/>
        <v>367.45315551757812</v>
      </c>
      <c r="N70" t="b">
        <f t="shared" si="3"/>
        <v>1</v>
      </c>
    </row>
    <row r="71" spans="1:14" x14ac:dyDescent="0.2">
      <c r="A71" t="s">
        <v>80</v>
      </c>
      <c r="B71" t="s">
        <v>257</v>
      </c>
      <c r="C71" t="s">
        <v>366</v>
      </c>
      <c r="D71">
        <v>282.80047607421881</v>
      </c>
      <c r="E71" s="3">
        <v>28280.047607421879</v>
      </c>
      <c r="F71">
        <v>0.37457016698572021</v>
      </c>
      <c r="G71">
        <v>0.20021077990531921</v>
      </c>
      <c r="H71">
        <v>0</v>
      </c>
      <c r="I71">
        <v>4.1993274688720703</v>
      </c>
      <c r="J71">
        <v>0.52931550430510299</v>
      </c>
      <c r="K71">
        <v>755</v>
      </c>
      <c r="M71">
        <f t="shared" si="2"/>
        <v>282.80047607421875</v>
      </c>
      <c r="N71" t="b">
        <f t="shared" si="3"/>
        <v>1</v>
      </c>
    </row>
    <row r="72" spans="1:14" x14ac:dyDescent="0.2">
      <c r="A72" t="s">
        <v>81</v>
      </c>
      <c r="B72" t="s">
        <v>258</v>
      </c>
      <c r="C72" t="s">
        <v>361</v>
      </c>
      <c r="D72">
        <v>247.49208068847659</v>
      </c>
      <c r="E72" s="3">
        <v>24749.20806884766</v>
      </c>
      <c r="F72">
        <v>2.6250194171578509E-3</v>
      </c>
      <c r="G72">
        <v>0</v>
      </c>
      <c r="H72">
        <v>0</v>
      </c>
      <c r="I72">
        <v>4.2225770950317383</v>
      </c>
      <c r="J72">
        <v>4.1355833785120068E-2</v>
      </c>
      <c r="K72">
        <v>94282</v>
      </c>
      <c r="M72">
        <f t="shared" si="2"/>
        <v>247.49208068847651</v>
      </c>
      <c r="N72" t="b">
        <f t="shared" si="3"/>
        <v>1</v>
      </c>
    </row>
    <row r="73" spans="1:14" x14ac:dyDescent="0.2">
      <c r="A73" t="s">
        <v>82</v>
      </c>
      <c r="B73" t="s">
        <v>259</v>
      </c>
      <c r="C73" t="s">
        <v>363</v>
      </c>
      <c r="D73">
        <v>218.8508605957031</v>
      </c>
      <c r="E73" s="3">
        <v>21885.086059570309</v>
      </c>
      <c r="F73">
        <v>1.996887300592204E-3</v>
      </c>
      <c r="G73">
        <v>3.170819254592061E-4</v>
      </c>
      <c r="H73">
        <v>0</v>
      </c>
      <c r="I73">
        <v>0.89181387424468994</v>
      </c>
      <c r="J73">
        <v>1.295705230281698E-2</v>
      </c>
      <c r="K73">
        <v>109596</v>
      </c>
      <c r="M73">
        <f t="shared" si="2"/>
        <v>218.85086059570318</v>
      </c>
      <c r="N73" t="b">
        <f t="shared" si="3"/>
        <v>1</v>
      </c>
    </row>
    <row r="74" spans="1:14" x14ac:dyDescent="0.2">
      <c r="A74" t="s">
        <v>83</v>
      </c>
      <c r="B74" t="s">
        <v>260</v>
      </c>
      <c r="C74" t="s">
        <v>361</v>
      </c>
      <c r="D74">
        <v>216.8601379394531</v>
      </c>
      <c r="E74" s="3">
        <v>21686.013793945309</v>
      </c>
      <c r="F74">
        <v>4.3002208593982379E-3</v>
      </c>
      <c r="G74">
        <v>3.572401765268296E-4</v>
      </c>
      <c r="H74">
        <v>0</v>
      </c>
      <c r="I74">
        <v>5.0385098457336426</v>
      </c>
      <c r="J74">
        <v>7.918438470048289E-2</v>
      </c>
      <c r="K74">
        <v>50430</v>
      </c>
      <c r="M74">
        <f t="shared" si="2"/>
        <v>216.86013793945312</v>
      </c>
      <c r="N74" t="b">
        <f t="shared" si="3"/>
        <v>1</v>
      </c>
    </row>
    <row r="75" spans="1:14" x14ac:dyDescent="0.2">
      <c r="A75" t="s">
        <v>84</v>
      </c>
      <c r="B75" t="s">
        <v>261</v>
      </c>
      <c r="C75" t="s">
        <v>361</v>
      </c>
      <c r="D75">
        <v>216.01832580566409</v>
      </c>
      <c r="E75" s="3">
        <v>21601.83258056641</v>
      </c>
      <c r="F75">
        <v>6.6060650093475249E-3</v>
      </c>
      <c r="G75">
        <v>5.723212962038815E-4</v>
      </c>
      <c r="H75">
        <v>0</v>
      </c>
      <c r="I75">
        <v>7.8164148330688477</v>
      </c>
      <c r="J75">
        <v>0.10545548950065339</v>
      </c>
      <c r="K75">
        <v>32700</v>
      </c>
      <c r="M75">
        <f t="shared" si="2"/>
        <v>216.01832580566406</v>
      </c>
      <c r="N75" t="b">
        <f t="shared" si="3"/>
        <v>1</v>
      </c>
    </row>
    <row r="76" spans="1:14" x14ac:dyDescent="0.2">
      <c r="A76" t="s">
        <v>85</v>
      </c>
      <c r="B76" t="s">
        <v>262</v>
      </c>
      <c r="C76" t="s">
        <v>364</v>
      </c>
      <c r="D76">
        <v>214.28895568847659</v>
      </c>
      <c r="E76" s="3">
        <v>21428.89556884766</v>
      </c>
      <c r="F76">
        <v>2.9766489191342761E-2</v>
      </c>
      <c r="G76">
        <v>7.9985847696661949E-3</v>
      </c>
      <c r="H76">
        <v>0</v>
      </c>
      <c r="I76">
        <v>5.6795520782470703</v>
      </c>
      <c r="J76">
        <v>0.13739105360212789</v>
      </c>
      <c r="K76">
        <v>7199</v>
      </c>
      <c r="M76">
        <f t="shared" si="2"/>
        <v>214.28895568847653</v>
      </c>
      <c r="N76" t="b">
        <f t="shared" si="3"/>
        <v>1</v>
      </c>
    </row>
    <row r="77" spans="1:14" x14ac:dyDescent="0.2">
      <c r="A77" t="s">
        <v>86</v>
      </c>
      <c r="B77" t="s">
        <v>263</v>
      </c>
      <c r="C77" t="s">
        <v>363</v>
      </c>
      <c r="D77">
        <v>209.84210205078119</v>
      </c>
      <c r="E77" s="3">
        <v>20984.210205078121</v>
      </c>
      <c r="F77">
        <v>0.22563666887180781</v>
      </c>
      <c r="G77">
        <v>1.217636745423079E-3</v>
      </c>
      <c r="H77">
        <v>0</v>
      </c>
      <c r="I77">
        <v>6.3781089782714844</v>
      </c>
      <c r="J77">
        <v>0.66998379731515534</v>
      </c>
      <c r="K77">
        <v>930</v>
      </c>
      <c r="M77">
        <f t="shared" si="2"/>
        <v>209.84210205078125</v>
      </c>
      <c r="N77" t="b">
        <f t="shared" si="3"/>
        <v>1</v>
      </c>
    </row>
    <row r="78" spans="1:14" x14ac:dyDescent="0.2">
      <c r="A78" t="s">
        <v>87</v>
      </c>
      <c r="B78" t="s">
        <v>264</v>
      </c>
      <c r="C78" t="s">
        <v>363</v>
      </c>
      <c r="D78">
        <v>208.6805419921875</v>
      </c>
      <c r="E78" s="3">
        <v>20868.05419921875</v>
      </c>
      <c r="F78">
        <v>2.230684575010021E-2</v>
      </c>
      <c r="G78">
        <v>4.2965668253600597E-3</v>
      </c>
      <c r="H78">
        <v>1.227220855071209E-5</v>
      </c>
      <c r="I78">
        <v>1.3433599472045901</v>
      </c>
      <c r="J78">
        <v>5.5251056455448998E-2</v>
      </c>
      <c r="K78">
        <v>9355</v>
      </c>
      <c r="M78">
        <f t="shared" si="2"/>
        <v>208.68054199218747</v>
      </c>
      <c r="N78" t="b">
        <f t="shared" si="3"/>
        <v>0</v>
      </c>
    </row>
    <row r="79" spans="1:14" x14ac:dyDescent="0.2">
      <c r="A79" t="s">
        <v>88</v>
      </c>
      <c r="B79" t="s">
        <v>265</v>
      </c>
      <c r="C79" t="s">
        <v>365</v>
      </c>
      <c r="D79">
        <v>199.0484619140625</v>
      </c>
      <c r="E79" s="3">
        <v>19904.84619140625</v>
      </c>
      <c r="F79">
        <v>2.348931577933237E-2</v>
      </c>
      <c r="G79">
        <v>2.049682661890984E-3</v>
      </c>
      <c r="H79">
        <v>0</v>
      </c>
      <c r="I79">
        <v>0.95305806398391724</v>
      </c>
      <c r="J79">
        <v>0.10452515022102569</v>
      </c>
      <c r="K79">
        <v>8474</v>
      </c>
      <c r="M79">
        <f t="shared" si="2"/>
        <v>199.0484619140625</v>
      </c>
      <c r="N79" t="b">
        <f t="shared" si="3"/>
        <v>1</v>
      </c>
    </row>
    <row r="80" spans="1:14" x14ac:dyDescent="0.2">
      <c r="A80" t="s">
        <v>89</v>
      </c>
      <c r="B80" t="s">
        <v>266</v>
      </c>
      <c r="C80" t="s">
        <v>365</v>
      </c>
      <c r="D80">
        <v>194.19203186035159</v>
      </c>
      <c r="E80" s="3">
        <v>19419.20318603516</v>
      </c>
      <c r="F80">
        <v>3.9127953225942293E-2</v>
      </c>
      <c r="G80">
        <v>4.2601297609508038E-3</v>
      </c>
      <c r="H80">
        <v>0</v>
      </c>
      <c r="I80">
        <v>4.1675052642822266</v>
      </c>
      <c r="J80">
        <v>0.19140406239598701</v>
      </c>
      <c r="K80">
        <v>4963</v>
      </c>
      <c r="M80">
        <f t="shared" si="2"/>
        <v>194.19203186035159</v>
      </c>
      <c r="N80" t="b">
        <f t="shared" si="3"/>
        <v>1</v>
      </c>
    </row>
    <row r="81" spans="1:14" x14ac:dyDescent="0.2">
      <c r="A81" t="s">
        <v>90</v>
      </c>
      <c r="B81" t="s">
        <v>267</v>
      </c>
      <c r="C81" t="s">
        <v>364</v>
      </c>
      <c r="D81">
        <v>190.04292297363281</v>
      </c>
      <c r="E81" s="3">
        <v>19004.292297363281</v>
      </c>
      <c r="F81">
        <v>1.161489567128913E-2</v>
      </c>
      <c r="G81">
        <v>1.8154601566493509E-3</v>
      </c>
      <c r="H81">
        <v>0</v>
      </c>
      <c r="I81">
        <v>2.1069126129150391</v>
      </c>
      <c r="J81">
        <v>3.6493548283720728E-2</v>
      </c>
      <c r="K81">
        <v>16362</v>
      </c>
      <c r="M81">
        <f t="shared" si="2"/>
        <v>190.04292297363276</v>
      </c>
      <c r="N81" t="b">
        <f t="shared" si="3"/>
        <v>1</v>
      </c>
    </row>
    <row r="82" spans="1:14" x14ac:dyDescent="0.2">
      <c r="A82" t="s">
        <v>91</v>
      </c>
      <c r="B82" t="s">
        <v>268</v>
      </c>
      <c r="C82" t="s">
        <v>361</v>
      </c>
      <c r="D82">
        <v>182.9653015136719</v>
      </c>
      <c r="E82" s="3">
        <v>18296.530151367191</v>
      </c>
      <c r="F82">
        <v>4.4409053765454343E-2</v>
      </c>
      <c r="G82">
        <v>5.2609262056648731E-3</v>
      </c>
      <c r="H82">
        <v>0</v>
      </c>
      <c r="I82">
        <v>8.8570413589477539</v>
      </c>
      <c r="J82">
        <v>0.30219671649805419</v>
      </c>
      <c r="K82">
        <v>4120</v>
      </c>
      <c r="M82">
        <f t="shared" si="2"/>
        <v>182.9653015136719</v>
      </c>
      <c r="N82" t="b">
        <f t="shared" si="3"/>
        <v>1</v>
      </c>
    </row>
    <row r="83" spans="1:14" x14ac:dyDescent="0.2">
      <c r="A83" t="s">
        <v>92</v>
      </c>
      <c r="B83" t="s">
        <v>269</v>
      </c>
      <c r="C83" t="s">
        <v>365</v>
      </c>
      <c r="D83">
        <v>169.65447998046881</v>
      </c>
      <c r="E83" s="3">
        <v>16965.447998046879</v>
      </c>
      <c r="F83">
        <v>1.353662171710435E-2</v>
      </c>
      <c r="G83">
        <v>1.91540690138936E-3</v>
      </c>
      <c r="H83">
        <v>0</v>
      </c>
      <c r="I83">
        <v>0.95273661613464355</v>
      </c>
      <c r="J83">
        <v>6.7850084714422609E-2</v>
      </c>
      <c r="K83">
        <v>12533</v>
      </c>
      <c r="M83">
        <f t="shared" si="2"/>
        <v>169.65447998046884</v>
      </c>
      <c r="N83" t="b">
        <f t="shared" si="3"/>
        <v>1</v>
      </c>
    </row>
    <row r="84" spans="1:14" x14ac:dyDescent="0.2">
      <c r="A84" t="s">
        <v>93</v>
      </c>
      <c r="B84" t="s">
        <v>270</v>
      </c>
      <c r="C84" t="s">
        <v>361</v>
      </c>
      <c r="D84">
        <v>169.61552429199219</v>
      </c>
      <c r="E84" s="3">
        <v>16961.552429199219</v>
      </c>
      <c r="F84">
        <v>8.7018019850190944E-3</v>
      </c>
      <c r="G84">
        <v>7.2552252095192671E-4</v>
      </c>
      <c r="H84">
        <v>0</v>
      </c>
      <c r="I84">
        <v>10.383397102355961</v>
      </c>
      <c r="J84">
        <v>0.20174510545406329</v>
      </c>
      <c r="K84">
        <v>19492</v>
      </c>
      <c r="M84">
        <f t="shared" si="2"/>
        <v>169.61552429199219</v>
      </c>
      <c r="N84" t="b">
        <f t="shared" si="3"/>
        <v>1</v>
      </c>
    </row>
    <row r="85" spans="1:14" x14ac:dyDescent="0.2">
      <c r="A85" t="s">
        <v>94</v>
      </c>
      <c r="B85" t="s">
        <v>271</v>
      </c>
      <c r="C85" t="s">
        <v>365</v>
      </c>
      <c r="D85">
        <v>168.56074523925781</v>
      </c>
      <c r="E85" s="3">
        <v>16856.074523925781</v>
      </c>
      <c r="F85">
        <v>1.167641626761276E-2</v>
      </c>
      <c r="G85">
        <v>1.815024763345718E-3</v>
      </c>
      <c r="H85">
        <v>0</v>
      </c>
      <c r="I85">
        <v>0.95271468162536621</v>
      </c>
      <c r="J85">
        <v>6.8116926070641584E-2</v>
      </c>
      <c r="K85">
        <v>14436</v>
      </c>
      <c r="M85">
        <f t="shared" si="2"/>
        <v>168.56074523925781</v>
      </c>
      <c r="N85" t="b">
        <f t="shared" si="3"/>
        <v>1</v>
      </c>
    </row>
    <row r="86" spans="1:14" x14ac:dyDescent="0.2">
      <c r="A86" t="s">
        <v>95</v>
      </c>
      <c r="B86" t="s">
        <v>272</v>
      </c>
      <c r="C86" t="s">
        <v>361</v>
      </c>
      <c r="D86">
        <v>158.0956726074219</v>
      </c>
      <c r="E86" s="3">
        <v>15809.567260742189</v>
      </c>
      <c r="F86">
        <v>2.089388531274574E-3</v>
      </c>
      <c r="G86">
        <v>2.235994616057724E-4</v>
      </c>
      <c r="H86">
        <v>0</v>
      </c>
      <c r="I86">
        <v>0.153158038854599</v>
      </c>
      <c r="J86">
        <v>6.7057802926039642E-3</v>
      </c>
      <c r="K86">
        <v>75666</v>
      </c>
      <c r="M86">
        <f>K86*F86</f>
        <v>158.0956726074219</v>
      </c>
      <c r="N86" t="b">
        <f t="shared" si="3"/>
        <v>1</v>
      </c>
    </row>
    <row r="87" spans="1:14" x14ac:dyDescent="0.2">
      <c r="A87" t="s">
        <v>96</v>
      </c>
      <c r="B87" t="s">
        <v>273</v>
      </c>
      <c r="C87" t="s">
        <v>362</v>
      </c>
      <c r="D87">
        <v>147.91279602050781</v>
      </c>
      <c r="E87" s="3">
        <v>14791.279602050779</v>
      </c>
      <c r="F87">
        <v>2.9353601115401431E-2</v>
      </c>
      <c r="G87">
        <v>1.0829099453985689E-2</v>
      </c>
      <c r="H87">
        <v>0</v>
      </c>
      <c r="I87">
        <v>3.400710821151733</v>
      </c>
      <c r="J87">
        <v>9.3422862934863377E-2</v>
      </c>
      <c r="K87">
        <v>5039</v>
      </c>
      <c r="M87">
        <f t="shared" ref="M87:M115" si="4">K87*F87</f>
        <v>147.91279602050781</v>
      </c>
      <c r="N87" t="b">
        <f t="shared" si="3"/>
        <v>1</v>
      </c>
    </row>
    <row r="88" spans="1:14" x14ac:dyDescent="0.2">
      <c r="A88" t="s">
        <v>97</v>
      </c>
      <c r="B88" t="s">
        <v>274</v>
      </c>
      <c r="C88" t="s">
        <v>365</v>
      </c>
      <c r="D88">
        <v>128.96728515625</v>
      </c>
      <c r="E88" s="3">
        <v>12896.728515625</v>
      </c>
      <c r="F88">
        <v>3.5577182112068957E-2</v>
      </c>
      <c r="G88">
        <v>1.9182786345481869E-2</v>
      </c>
      <c r="H88">
        <v>0</v>
      </c>
      <c r="I88">
        <v>6.3295192718505859</v>
      </c>
      <c r="J88">
        <v>0.199152898563657</v>
      </c>
      <c r="K88">
        <v>3625</v>
      </c>
      <c r="M88">
        <f t="shared" si="4"/>
        <v>128.96728515624997</v>
      </c>
      <c r="N88" t="b">
        <f t="shared" si="3"/>
        <v>1</v>
      </c>
    </row>
    <row r="89" spans="1:14" x14ac:dyDescent="0.2">
      <c r="A89" t="s">
        <v>98</v>
      </c>
      <c r="B89" t="s">
        <v>275</v>
      </c>
      <c r="C89" t="s">
        <v>365</v>
      </c>
      <c r="D89">
        <v>128.26463317871091</v>
      </c>
      <c r="E89" s="3">
        <v>12826.46331787109</v>
      </c>
      <c r="F89">
        <v>8.5968252800744591E-2</v>
      </c>
      <c r="G89">
        <v>1.85776618309319E-3</v>
      </c>
      <c r="H89">
        <v>0</v>
      </c>
      <c r="I89">
        <v>0.94663983583450317</v>
      </c>
      <c r="J89">
        <v>0.19013740348132149</v>
      </c>
      <c r="K89">
        <v>1492</v>
      </c>
      <c r="M89">
        <f t="shared" si="4"/>
        <v>128.26463317871094</v>
      </c>
      <c r="N89" t="b">
        <f t="shared" si="3"/>
        <v>1</v>
      </c>
    </row>
    <row r="90" spans="1:14" x14ac:dyDescent="0.2">
      <c r="A90" t="s">
        <v>99</v>
      </c>
      <c r="B90" t="s">
        <v>247</v>
      </c>
      <c r="C90" t="s">
        <v>361</v>
      </c>
      <c r="D90">
        <v>127.826904296875</v>
      </c>
      <c r="E90" s="3">
        <v>12782.6904296875</v>
      </c>
      <c r="F90">
        <v>1.889532953390613E-2</v>
      </c>
      <c r="G90">
        <v>7.2552252095192671E-4</v>
      </c>
      <c r="H90">
        <v>0</v>
      </c>
      <c r="I90">
        <v>13.60023212432861</v>
      </c>
      <c r="J90">
        <v>0.22570688825635621</v>
      </c>
      <c r="K90">
        <v>6765</v>
      </c>
      <c r="M90">
        <f t="shared" si="4"/>
        <v>127.82690429687497</v>
      </c>
      <c r="N90" t="b">
        <f t="shared" si="3"/>
        <v>1</v>
      </c>
    </row>
    <row r="91" spans="1:14" x14ac:dyDescent="0.2">
      <c r="A91" t="s">
        <v>100</v>
      </c>
      <c r="B91" t="s">
        <v>276</v>
      </c>
      <c r="C91" t="s">
        <v>361</v>
      </c>
      <c r="D91">
        <v>117.4836883544922</v>
      </c>
      <c r="E91" s="3">
        <v>11748.368835449221</v>
      </c>
      <c r="F91">
        <v>2.9172548757074941E-3</v>
      </c>
      <c r="G91">
        <v>0</v>
      </c>
      <c r="H91">
        <v>0</v>
      </c>
      <c r="I91">
        <v>0.21961171925067899</v>
      </c>
      <c r="J91">
        <v>2.2977636816809088E-2</v>
      </c>
      <c r="K91">
        <v>40272</v>
      </c>
      <c r="M91">
        <f t="shared" si="4"/>
        <v>117.4836883544922</v>
      </c>
      <c r="N91" t="b">
        <f t="shared" si="3"/>
        <v>1</v>
      </c>
    </row>
    <row r="92" spans="1:14" x14ac:dyDescent="0.2">
      <c r="A92" t="s">
        <v>101</v>
      </c>
      <c r="B92" t="s">
        <v>277</v>
      </c>
      <c r="C92" t="s">
        <v>365</v>
      </c>
      <c r="D92">
        <v>113.7264404296875</v>
      </c>
      <c r="E92" s="3">
        <v>11372.64404296875</v>
      </c>
      <c r="F92">
        <v>2.5408051927990949E-2</v>
      </c>
      <c r="G92">
        <v>3.7271478213369851E-3</v>
      </c>
      <c r="H92">
        <v>0</v>
      </c>
      <c r="I92">
        <v>2.9234695434570308</v>
      </c>
      <c r="J92">
        <v>0.18412071887332801</v>
      </c>
      <c r="K92">
        <v>4476</v>
      </c>
      <c r="M92">
        <f t="shared" si="4"/>
        <v>113.72644042968749</v>
      </c>
      <c r="N92" t="b">
        <f t="shared" si="3"/>
        <v>0</v>
      </c>
    </row>
    <row r="93" spans="1:14" x14ac:dyDescent="0.2">
      <c r="A93" t="s">
        <v>102</v>
      </c>
      <c r="B93" t="s">
        <v>278</v>
      </c>
      <c r="C93" t="s">
        <v>363</v>
      </c>
      <c r="D93">
        <v>112.6872863769531</v>
      </c>
      <c r="E93" s="3">
        <v>11268.728637695311</v>
      </c>
      <c r="F93">
        <v>2.2169444496744659E-2</v>
      </c>
      <c r="G93">
        <v>1.97016098536551E-3</v>
      </c>
      <c r="H93">
        <v>0</v>
      </c>
      <c r="I93">
        <v>11.216501235961911</v>
      </c>
      <c r="J93">
        <v>0.32292517672383209</v>
      </c>
      <c r="K93">
        <v>5083</v>
      </c>
      <c r="M93">
        <f t="shared" si="4"/>
        <v>112.6872863769531</v>
      </c>
      <c r="N93" t="b">
        <f t="shared" si="3"/>
        <v>1</v>
      </c>
    </row>
    <row r="94" spans="1:14" x14ac:dyDescent="0.2">
      <c r="A94" t="s">
        <v>103</v>
      </c>
      <c r="B94" t="s">
        <v>279</v>
      </c>
      <c r="C94" t="s">
        <v>363</v>
      </c>
      <c r="D94">
        <v>108.0915832519531</v>
      </c>
      <c r="E94" s="3">
        <v>10809.158325195311</v>
      </c>
      <c r="F94">
        <v>0.26558128563133448</v>
      </c>
      <c r="G94">
        <v>2.2797239944338799E-2</v>
      </c>
      <c r="H94">
        <v>2.973226219182834E-5</v>
      </c>
      <c r="I94">
        <v>7.3391523361206046</v>
      </c>
      <c r="J94">
        <v>0.53800933248431837</v>
      </c>
      <c r="K94">
        <v>407</v>
      </c>
      <c r="M94">
        <f t="shared" si="4"/>
        <v>108.09158325195314</v>
      </c>
      <c r="N94" t="b">
        <f t="shared" si="3"/>
        <v>1</v>
      </c>
    </row>
    <row r="95" spans="1:14" x14ac:dyDescent="0.2">
      <c r="A95" t="s">
        <v>104</v>
      </c>
      <c r="B95" t="s">
        <v>280</v>
      </c>
      <c r="C95" t="s">
        <v>361</v>
      </c>
      <c r="D95">
        <v>104.9032363891602</v>
      </c>
      <c r="E95" s="3">
        <v>10490.323638916019</v>
      </c>
      <c r="F95">
        <v>6.8505999078665291E-3</v>
      </c>
      <c r="G95">
        <v>2.6800027117133141E-3</v>
      </c>
      <c r="H95">
        <v>0</v>
      </c>
      <c r="I95">
        <v>2.994040966033936</v>
      </c>
      <c r="J95">
        <v>4.301572856379781E-2</v>
      </c>
      <c r="K95">
        <v>15313</v>
      </c>
      <c r="M95">
        <f t="shared" si="4"/>
        <v>104.90323638916016</v>
      </c>
      <c r="N95" t="b">
        <f t="shared" si="3"/>
        <v>1</v>
      </c>
    </row>
    <row r="96" spans="1:14" x14ac:dyDescent="0.2">
      <c r="A96" t="s">
        <v>105</v>
      </c>
      <c r="B96" t="s">
        <v>281</v>
      </c>
      <c r="C96" t="s">
        <v>361</v>
      </c>
      <c r="D96">
        <v>95.685211181640625</v>
      </c>
      <c r="E96" s="3">
        <v>9568.5211181640625</v>
      </c>
      <c r="F96">
        <v>3.1428875408651869E-3</v>
      </c>
      <c r="G96">
        <v>4.5808256254531438E-4</v>
      </c>
      <c r="H96">
        <v>0</v>
      </c>
      <c r="I96">
        <v>1.9788210391998291</v>
      </c>
      <c r="J96">
        <v>2.84809275143771E-2</v>
      </c>
      <c r="K96">
        <v>30445</v>
      </c>
      <c r="M96">
        <f t="shared" si="4"/>
        <v>95.685211181640611</v>
      </c>
      <c r="N96" t="b">
        <f t="shared" si="3"/>
        <v>1</v>
      </c>
    </row>
    <row r="97" spans="1:14" x14ac:dyDescent="0.2">
      <c r="A97" t="s">
        <v>106</v>
      </c>
      <c r="B97" t="s">
        <v>282</v>
      </c>
      <c r="C97" t="s">
        <v>361</v>
      </c>
      <c r="D97">
        <v>93.023788452148438</v>
      </c>
      <c r="E97" s="3">
        <v>9302.3788452148438</v>
      </c>
      <c r="F97">
        <v>1.7919170237156101E-3</v>
      </c>
      <c r="G97">
        <v>3.6132268724031752E-4</v>
      </c>
      <c r="H97">
        <v>0</v>
      </c>
      <c r="I97">
        <v>1.1753694154322151E-2</v>
      </c>
      <c r="J97">
        <v>2.806839574031899E-3</v>
      </c>
      <c r="K97">
        <v>51913</v>
      </c>
      <c r="M97">
        <f t="shared" si="4"/>
        <v>93.023788452148466</v>
      </c>
      <c r="N97" t="b">
        <f t="shared" si="3"/>
        <v>0</v>
      </c>
    </row>
    <row r="98" spans="1:14" x14ac:dyDescent="0.2">
      <c r="A98" t="s">
        <v>107</v>
      </c>
      <c r="B98" t="s">
        <v>283</v>
      </c>
      <c r="C98" t="s">
        <v>365</v>
      </c>
      <c r="D98">
        <v>87.5855712890625</v>
      </c>
      <c r="E98" s="3">
        <v>8758.55712890625</v>
      </c>
      <c r="F98">
        <v>5.0394459890139527E-2</v>
      </c>
      <c r="G98">
        <v>8.4044213872402906E-4</v>
      </c>
      <c r="H98">
        <v>0</v>
      </c>
      <c r="I98">
        <v>0.87333035469055176</v>
      </c>
      <c r="J98">
        <v>0.12388060477990891</v>
      </c>
      <c r="K98">
        <v>1738</v>
      </c>
      <c r="M98">
        <f t="shared" si="4"/>
        <v>87.5855712890625</v>
      </c>
      <c r="N98" t="b">
        <f t="shared" si="3"/>
        <v>1</v>
      </c>
    </row>
    <row r="99" spans="1:14" x14ac:dyDescent="0.2">
      <c r="A99" t="s">
        <v>108</v>
      </c>
      <c r="B99" t="s">
        <v>284</v>
      </c>
      <c r="C99" t="s">
        <v>361</v>
      </c>
      <c r="D99">
        <v>81.473129272460938</v>
      </c>
      <c r="E99" s="3">
        <v>8147.3129272460938</v>
      </c>
      <c r="F99">
        <v>1.615921166077489E-3</v>
      </c>
      <c r="G99">
        <v>1.7763818323146549E-4</v>
      </c>
      <c r="H99">
        <v>0</v>
      </c>
      <c r="I99">
        <v>1.9120948389172551E-2</v>
      </c>
      <c r="J99">
        <v>2.713627117140982E-3</v>
      </c>
      <c r="K99">
        <v>50419</v>
      </c>
      <c r="M99">
        <f t="shared" si="4"/>
        <v>81.473129272460923</v>
      </c>
      <c r="N99" t="b">
        <f t="shared" si="3"/>
        <v>1</v>
      </c>
    </row>
    <row r="100" spans="1:14" x14ac:dyDescent="0.2">
      <c r="A100" t="s">
        <v>109</v>
      </c>
      <c r="B100" t="s">
        <v>285</v>
      </c>
      <c r="C100" t="s">
        <v>363</v>
      </c>
      <c r="D100">
        <v>79.751922607421875</v>
      </c>
      <c r="E100" s="3">
        <v>7975.1922607421884</v>
      </c>
      <c r="F100">
        <v>2.1952084395106489E-2</v>
      </c>
      <c r="G100">
        <v>2.3308326490223412E-3</v>
      </c>
      <c r="H100">
        <v>0</v>
      </c>
      <c r="I100">
        <v>8.0069236755371094</v>
      </c>
      <c r="J100">
        <v>0.23078446769733629</v>
      </c>
      <c r="K100">
        <v>3633</v>
      </c>
      <c r="M100">
        <f t="shared" si="4"/>
        <v>79.751922607421875</v>
      </c>
      <c r="N100" t="b">
        <f t="shared" si="3"/>
        <v>1</v>
      </c>
    </row>
    <row r="101" spans="1:14" x14ac:dyDescent="0.2">
      <c r="A101" t="s">
        <v>110</v>
      </c>
      <c r="B101" t="s">
        <v>286</v>
      </c>
      <c r="C101" t="s">
        <v>361</v>
      </c>
      <c r="D101">
        <v>74.824066162109375</v>
      </c>
      <c r="E101" s="3">
        <v>7482.4066162109384</v>
      </c>
      <c r="F101">
        <v>3.0703350907718249E-2</v>
      </c>
      <c r="G101">
        <v>3.4247003495693211E-3</v>
      </c>
      <c r="H101">
        <v>1.8459470084053461E-5</v>
      </c>
      <c r="I101">
        <v>2.9703655242919922</v>
      </c>
      <c r="J101">
        <v>0.24598884250807451</v>
      </c>
      <c r="K101">
        <v>2437</v>
      </c>
      <c r="M101">
        <f t="shared" si="4"/>
        <v>74.824066162109375</v>
      </c>
      <c r="N101" t="b">
        <f t="shared" si="3"/>
        <v>1</v>
      </c>
    </row>
    <row r="102" spans="1:14" x14ac:dyDescent="0.2">
      <c r="A102" t="s">
        <v>111</v>
      </c>
      <c r="B102" t="s">
        <v>287</v>
      </c>
      <c r="C102" t="s">
        <v>361</v>
      </c>
      <c r="D102">
        <v>73.759513854980469</v>
      </c>
      <c r="E102" s="3">
        <v>7375.9513854980469</v>
      </c>
      <c r="F102">
        <v>2.2055292245008059E-3</v>
      </c>
      <c r="G102">
        <v>1.8417948740534479E-4</v>
      </c>
      <c r="H102">
        <v>0</v>
      </c>
      <c r="I102">
        <v>6.7250370979309082E-2</v>
      </c>
      <c r="J102">
        <v>4.7741591817503969E-3</v>
      </c>
      <c r="K102">
        <v>33443</v>
      </c>
      <c r="M102">
        <f t="shared" si="4"/>
        <v>73.759513854980455</v>
      </c>
      <c r="N102" t="b">
        <f t="shared" si="3"/>
        <v>1</v>
      </c>
    </row>
    <row r="103" spans="1:14" x14ac:dyDescent="0.2">
      <c r="A103" t="s">
        <v>112</v>
      </c>
      <c r="B103" t="s">
        <v>288</v>
      </c>
      <c r="C103" t="s">
        <v>363</v>
      </c>
      <c r="D103">
        <v>66.014259338378906</v>
      </c>
      <c r="E103" s="3">
        <v>6601.4259338378906</v>
      </c>
      <c r="F103">
        <v>2.367799832796948E-2</v>
      </c>
      <c r="G103">
        <v>6.0509052127599716E-3</v>
      </c>
      <c r="H103">
        <v>0</v>
      </c>
      <c r="I103">
        <v>5.585604190826416</v>
      </c>
      <c r="J103">
        <v>0.15225276086289299</v>
      </c>
      <c r="K103">
        <v>2788</v>
      </c>
      <c r="M103">
        <f t="shared" si="4"/>
        <v>66.014259338378906</v>
      </c>
      <c r="N103" t="b">
        <f t="shared" si="3"/>
        <v>1</v>
      </c>
    </row>
    <row r="104" spans="1:14" x14ac:dyDescent="0.2">
      <c r="A104" t="s">
        <v>113</v>
      </c>
      <c r="B104" t="s">
        <v>289</v>
      </c>
      <c r="C104" t="s">
        <v>365</v>
      </c>
      <c r="D104">
        <v>64.358390808105469</v>
      </c>
      <c r="E104" s="3">
        <v>6435.8390808105469</v>
      </c>
      <c r="F104">
        <v>2.7728733652781331E-2</v>
      </c>
      <c r="G104">
        <v>3.9115329273045063E-3</v>
      </c>
      <c r="H104">
        <v>0</v>
      </c>
      <c r="I104">
        <v>5.1117019653320312</v>
      </c>
      <c r="J104">
        <v>0.16426014886704651</v>
      </c>
      <c r="K104">
        <v>2321</v>
      </c>
      <c r="M104">
        <f t="shared" si="4"/>
        <v>64.358390808105469</v>
      </c>
      <c r="N104" t="b">
        <f t="shared" si="3"/>
        <v>1</v>
      </c>
    </row>
    <row r="105" spans="1:14" x14ac:dyDescent="0.2">
      <c r="A105" t="s">
        <v>114</v>
      </c>
      <c r="B105" t="s">
        <v>290</v>
      </c>
      <c r="C105" t="s">
        <v>365</v>
      </c>
      <c r="D105">
        <v>63.923751831054688</v>
      </c>
      <c r="E105" s="3">
        <v>6392.3751831054688</v>
      </c>
      <c r="F105">
        <v>2.483440242076717E-2</v>
      </c>
      <c r="G105">
        <v>7.2093337075784802E-4</v>
      </c>
      <c r="H105">
        <v>0</v>
      </c>
      <c r="I105">
        <v>0.91929513216018677</v>
      </c>
      <c r="J105">
        <v>8.2219241160343196E-2</v>
      </c>
      <c r="K105">
        <v>2574</v>
      </c>
      <c r="M105">
        <f t="shared" si="4"/>
        <v>63.923751831054695</v>
      </c>
      <c r="N105" t="b">
        <f t="shared" si="3"/>
        <v>1</v>
      </c>
    </row>
    <row r="106" spans="1:14" x14ac:dyDescent="0.2">
      <c r="A106" t="s">
        <v>115</v>
      </c>
      <c r="B106" t="s">
        <v>291</v>
      </c>
      <c r="C106" t="s">
        <v>365</v>
      </c>
      <c r="D106">
        <v>61.746749877929688</v>
      </c>
      <c r="E106" s="3">
        <v>6174.6749877929688</v>
      </c>
      <c r="F106">
        <v>1.9931165228511839E-2</v>
      </c>
      <c r="G106">
        <v>3.297283779829741E-3</v>
      </c>
      <c r="H106">
        <v>0</v>
      </c>
      <c r="I106">
        <v>0.96875816583633423</v>
      </c>
      <c r="J106">
        <v>7.4577345057766295E-2</v>
      </c>
      <c r="K106">
        <v>3098</v>
      </c>
      <c r="M106">
        <f t="shared" si="4"/>
        <v>61.746749877929673</v>
      </c>
      <c r="N106" t="b">
        <f t="shared" si="3"/>
        <v>1</v>
      </c>
    </row>
    <row r="107" spans="1:14" x14ac:dyDescent="0.2">
      <c r="A107" t="s">
        <v>116</v>
      </c>
      <c r="B107" t="s">
        <v>292</v>
      </c>
      <c r="C107" t="s">
        <v>361</v>
      </c>
      <c r="D107">
        <v>59.383701324462891</v>
      </c>
      <c r="E107" s="3">
        <v>5938.3701324462891</v>
      </c>
      <c r="F107">
        <v>5.3436247030021486E-3</v>
      </c>
      <c r="G107">
        <v>6.3293636776506901E-3</v>
      </c>
      <c r="H107">
        <v>0</v>
      </c>
      <c r="I107">
        <v>5.7300716638565057E-2</v>
      </c>
      <c r="J107">
        <v>2.7359530832843058E-3</v>
      </c>
      <c r="K107">
        <v>11113</v>
      </c>
      <c r="M107">
        <f t="shared" si="4"/>
        <v>59.383701324462876</v>
      </c>
      <c r="N107" t="b">
        <f t="shared" si="3"/>
        <v>1</v>
      </c>
    </row>
    <row r="108" spans="1:14" x14ac:dyDescent="0.2">
      <c r="A108" t="s">
        <v>117</v>
      </c>
      <c r="B108" t="s">
        <v>293</v>
      </c>
      <c r="C108" t="s">
        <v>365</v>
      </c>
      <c r="D108">
        <v>51.664878845214837</v>
      </c>
      <c r="E108" s="3">
        <v>5166.4878845214844</v>
      </c>
      <c r="F108">
        <v>4.3562292449590929E-2</v>
      </c>
      <c r="G108">
        <v>1.8180687911808491E-3</v>
      </c>
      <c r="H108">
        <v>0</v>
      </c>
      <c r="I108">
        <v>3.550886869430542</v>
      </c>
      <c r="J108">
        <v>0.29250503878091688</v>
      </c>
      <c r="K108">
        <v>1186</v>
      </c>
      <c r="M108">
        <f t="shared" si="4"/>
        <v>51.664878845214844</v>
      </c>
      <c r="N108" t="b">
        <f t="shared" si="3"/>
        <v>1</v>
      </c>
    </row>
    <row r="109" spans="1:14" x14ac:dyDescent="0.2">
      <c r="A109" t="s">
        <v>118</v>
      </c>
      <c r="B109" t="s">
        <v>294</v>
      </c>
      <c r="C109" t="s">
        <v>362</v>
      </c>
      <c r="D109">
        <v>41.103267669677727</v>
      </c>
      <c r="E109" s="3">
        <v>4110.3267669677734</v>
      </c>
      <c r="F109">
        <v>0.16776843946807241</v>
      </c>
      <c r="G109">
        <v>3.0329164583235979E-3</v>
      </c>
      <c r="H109">
        <v>0</v>
      </c>
      <c r="I109">
        <v>2.2393512725830078</v>
      </c>
      <c r="J109">
        <v>0.37430051233760292</v>
      </c>
      <c r="K109">
        <v>245</v>
      </c>
      <c r="M109">
        <f t="shared" si="4"/>
        <v>41.103267669677741</v>
      </c>
      <c r="N109" t="b">
        <f t="shared" si="3"/>
        <v>1</v>
      </c>
    </row>
    <row r="110" spans="1:14" x14ac:dyDescent="0.2">
      <c r="A110" t="s">
        <v>119</v>
      </c>
      <c r="B110" t="s">
        <v>295</v>
      </c>
      <c r="C110" t="s">
        <v>365</v>
      </c>
      <c r="D110">
        <v>40.898372650146477</v>
      </c>
      <c r="E110" s="3">
        <v>4089.837265014648</v>
      </c>
      <c r="F110">
        <v>1.9863221296817141E-2</v>
      </c>
      <c r="G110">
        <v>1.61138956900686E-3</v>
      </c>
      <c r="H110">
        <v>0</v>
      </c>
      <c r="I110">
        <v>6.0078043937683114</v>
      </c>
      <c r="J110">
        <v>0.24679727910983479</v>
      </c>
      <c r="K110">
        <v>2059</v>
      </c>
      <c r="M110">
        <f t="shared" si="4"/>
        <v>40.898372650146491</v>
      </c>
      <c r="N110" t="b">
        <f t="shared" si="3"/>
        <v>1</v>
      </c>
    </row>
    <row r="111" spans="1:14" x14ac:dyDescent="0.2">
      <c r="A111" t="s">
        <v>120</v>
      </c>
      <c r="B111" t="s">
        <v>296</v>
      </c>
      <c r="C111" t="s">
        <v>365</v>
      </c>
      <c r="D111">
        <v>40.708992004394531</v>
      </c>
      <c r="E111" s="3">
        <v>4070.8992004394531</v>
      </c>
      <c r="F111">
        <v>3.1028195125300709E-2</v>
      </c>
      <c r="G111">
        <v>2.29616416618228E-3</v>
      </c>
      <c r="H111">
        <v>9.1940208221785724E-5</v>
      </c>
      <c r="I111">
        <v>2.3151793479919429</v>
      </c>
      <c r="J111">
        <v>0.13765181697828721</v>
      </c>
      <c r="K111">
        <v>1312</v>
      </c>
      <c r="M111">
        <f t="shared" si="4"/>
        <v>40.708992004394531</v>
      </c>
      <c r="N111" t="b">
        <f t="shared" si="3"/>
        <v>1</v>
      </c>
    </row>
    <row r="112" spans="1:14" x14ac:dyDescent="0.2">
      <c r="A112" t="s">
        <v>121</v>
      </c>
      <c r="B112" t="s">
        <v>297</v>
      </c>
      <c r="C112" t="s">
        <v>363</v>
      </c>
      <c r="D112">
        <v>40.495372772216797</v>
      </c>
      <c r="E112" s="3">
        <v>4049.5372772216801</v>
      </c>
      <c r="F112">
        <v>6.4941181859641734E-4</v>
      </c>
      <c r="G112">
        <v>0</v>
      </c>
      <c r="H112">
        <v>0</v>
      </c>
      <c r="I112">
        <v>0.37310820817947388</v>
      </c>
      <c r="J112">
        <v>3.827150262503954E-3</v>
      </c>
      <c r="K112">
        <v>62357</v>
      </c>
      <c r="M112">
        <f t="shared" si="4"/>
        <v>40.495372772216797</v>
      </c>
      <c r="N112" t="b">
        <f t="shared" si="3"/>
        <v>1</v>
      </c>
    </row>
    <row r="113" spans="1:14" x14ac:dyDescent="0.2">
      <c r="A113" t="s">
        <v>122</v>
      </c>
      <c r="B113" t="s">
        <v>298</v>
      </c>
      <c r="C113" t="s">
        <v>361</v>
      </c>
      <c r="D113">
        <v>38.936729431152337</v>
      </c>
      <c r="E113" s="3">
        <v>3893.6729431152339</v>
      </c>
      <c r="F113">
        <v>2.8147711581834991E-3</v>
      </c>
      <c r="G113">
        <v>1.3232382480055091E-4</v>
      </c>
      <c r="H113">
        <v>0</v>
      </c>
      <c r="I113">
        <v>0.97778028249740601</v>
      </c>
      <c r="J113">
        <v>1.5679060357350921E-2</v>
      </c>
      <c r="K113">
        <v>13833</v>
      </c>
      <c r="M113">
        <f t="shared" si="4"/>
        <v>38.936729431152344</v>
      </c>
      <c r="N113" t="b">
        <f t="shared" si="3"/>
        <v>1</v>
      </c>
    </row>
    <row r="114" spans="1:14" x14ac:dyDescent="0.2">
      <c r="A114" t="s">
        <v>123</v>
      </c>
      <c r="B114" t="s">
        <v>299</v>
      </c>
      <c r="C114" t="s">
        <v>361</v>
      </c>
      <c r="D114">
        <v>38.722663879394531</v>
      </c>
      <c r="E114" s="3">
        <v>3872.2663879394531</v>
      </c>
      <c r="F114">
        <v>8.0249236066968956E-4</v>
      </c>
      <c r="G114">
        <v>2.9608701879624281E-5</v>
      </c>
      <c r="H114">
        <v>0</v>
      </c>
      <c r="I114">
        <v>1.1250860057771209E-2</v>
      </c>
      <c r="J114">
        <v>1.656544999373595E-3</v>
      </c>
      <c r="K114">
        <v>48253</v>
      </c>
      <c r="M114">
        <f t="shared" si="4"/>
        <v>38.722663879394531</v>
      </c>
      <c r="N114" t="b">
        <f t="shared" si="3"/>
        <v>1</v>
      </c>
    </row>
    <row r="115" spans="1:14" x14ac:dyDescent="0.2">
      <c r="A115" t="s">
        <v>124</v>
      </c>
      <c r="B115" t="s">
        <v>300</v>
      </c>
      <c r="C115" t="s">
        <v>361</v>
      </c>
      <c r="D115">
        <v>35.931926727294922</v>
      </c>
      <c r="E115" s="3">
        <v>3593.1926727294922</v>
      </c>
      <c r="F115">
        <v>7.4071174453298116E-3</v>
      </c>
      <c r="G115">
        <v>1.504996791481972E-3</v>
      </c>
      <c r="H115">
        <v>0</v>
      </c>
      <c r="I115">
        <v>0.16278792917728421</v>
      </c>
      <c r="J115">
        <v>2.0837138343801079E-2</v>
      </c>
      <c r="K115">
        <v>4851</v>
      </c>
      <c r="M115">
        <f t="shared" si="4"/>
        <v>35.931926727294915</v>
      </c>
      <c r="N115" t="b">
        <f t="shared" si="3"/>
        <v>1</v>
      </c>
    </row>
    <row r="116" spans="1:14" x14ac:dyDescent="0.2">
      <c r="A116" t="s">
        <v>125</v>
      </c>
      <c r="B116" t="s">
        <v>301</v>
      </c>
      <c r="C116" t="s">
        <v>361</v>
      </c>
      <c r="D116">
        <v>35.535770416259773</v>
      </c>
      <c r="E116" s="3">
        <v>3553.577041625977</v>
      </c>
      <c r="F116">
        <v>1.4703037120385521E-3</v>
      </c>
      <c r="G116">
        <v>1.243638107553124E-3</v>
      </c>
      <c r="H116">
        <v>0</v>
      </c>
      <c r="I116">
        <v>9.1691859066486359E-2</v>
      </c>
      <c r="J116">
        <v>2.7566687321475582E-3</v>
      </c>
      <c r="K116">
        <v>24169</v>
      </c>
      <c r="M116">
        <f>K116*F116</f>
        <v>35.535770416259766</v>
      </c>
      <c r="N116" t="b">
        <f t="shared" si="3"/>
        <v>1</v>
      </c>
    </row>
    <row r="117" spans="1:14" x14ac:dyDescent="0.2">
      <c r="A117" t="s">
        <v>126</v>
      </c>
      <c r="B117" t="s">
        <v>302</v>
      </c>
      <c r="C117" t="s">
        <v>361</v>
      </c>
      <c r="D117">
        <v>35.12213134765625</v>
      </c>
      <c r="E117" s="3">
        <v>3512.213134765625</v>
      </c>
      <c r="F117">
        <v>4.4792923539926349E-3</v>
      </c>
      <c r="G117">
        <v>2.2202641703188419E-3</v>
      </c>
      <c r="H117">
        <v>0</v>
      </c>
      <c r="I117">
        <v>6.5083242952823639E-2</v>
      </c>
      <c r="J117">
        <v>7.6162805510562393E-3</v>
      </c>
      <c r="K117">
        <v>7841</v>
      </c>
      <c r="M117">
        <f t="shared" ref="M117:M147" si="5">K117*F117</f>
        <v>35.12213134765625</v>
      </c>
      <c r="N117" t="b">
        <f t="shared" si="3"/>
        <v>1</v>
      </c>
    </row>
    <row r="118" spans="1:14" x14ac:dyDescent="0.2">
      <c r="A118" t="s">
        <v>127</v>
      </c>
      <c r="B118" t="s">
        <v>303</v>
      </c>
      <c r="C118" t="s">
        <v>363</v>
      </c>
      <c r="D118">
        <v>35.115749359130859</v>
      </c>
      <c r="E118" s="3">
        <v>3511.5749359130859</v>
      </c>
      <c r="F118">
        <v>1.321979797429916E-3</v>
      </c>
      <c r="G118">
        <v>5.812944145873189E-4</v>
      </c>
      <c r="H118">
        <v>0</v>
      </c>
      <c r="I118">
        <v>0.1976078003644943</v>
      </c>
      <c r="J118">
        <v>4.7019042115348389E-3</v>
      </c>
      <c r="K118">
        <v>26563</v>
      </c>
      <c r="M118">
        <f t="shared" si="5"/>
        <v>35.115749359130859</v>
      </c>
      <c r="N118" t="b">
        <f t="shared" si="3"/>
        <v>1</v>
      </c>
    </row>
    <row r="119" spans="1:14" x14ac:dyDescent="0.2">
      <c r="A119" t="s">
        <v>128</v>
      </c>
      <c r="B119" t="s">
        <v>304</v>
      </c>
      <c r="C119" t="s">
        <v>361</v>
      </c>
      <c r="D119">
        <v>34.894371032714837</v>
      </c>
      <c r="E119" s="3">
        <v>3489.4371032714839</v>
      </c>
      <c r="F119">
        <v>5.5564285083940833E-3</v>
      </c>
      <c r="G119">
        <v>3.4339478588663042E-5</v>
      </c>
      <c r="H119">
        <v>0</v>
      </c>
      <c r="I119">
        <v>8.2571081817150116E-2</v>
      </c>
      <c r="J119">
        <v>1.286274931903394E-2</v>
      </c>
      <c r="K119">
        <v>6280</v>
      </c>
      <c r="M119">
        <f t="shared" si="5"/>
        <v>34.894371032714844</v>
      </c>
      <c r="N119" t="b">
        <f t="shared" si="3"/>
        <v>1</v>
      </c>
    </row>
    <row r="120" spans="1:14" x14ac:dyDescent="0.2">
      <c r="A120" t="s">
        <v>129</v>
      </c>
      <c r="B120" t="s">
        <v>305</v>
      </c>
      <c r="C120" t="s">
        <v>363</v>
      </c>
      <c r="D120">
        <v>33.4052734375</v>
      </c>
      <c r="E120" s="3">
        <v>3340.52734375</v>
      </c>
      <c r="F120">
        <v>1.8045199566497411E-3</v>
      </c>
      <c r="G120">
        <v>1.446828828193247E-4</v>
      </c>
      <c r="H120">
        <v>0</v>
      </c>
      <c r="I120">
        <v>1.0245794057846069</v>
      </c>
      <c r="J120">
        <v>1.7325363205627279E-2</v>
      </c>
      <c r="K120">
        <v>18512</v>
      </c>
      <c r="M120">
        <f t="shared" si="5"/>
        <v>33.405273437500007</v>
      </c>
      <c r="N120" t="b">
        <f t="shared" si="3"/>
        <v>1</v>
      </c>
    </row>
    <row r="121" spans="1:14" x14ac:dyDescent="0.2">
      <c r="A121" t="s">
        <v>130</v>
      </c>
      <c r="B121" t="s">
        <v>306</v>
      </c>
      <c r="C121" t="s">
        <v>366</v>
      </c>
      <c r="D121">
        <v>28.753097534179691</v>
      </c>
      <c r="E121" s="3">
        <v>2875.3097534179692</v>
      </c>
      <c r="F121">
        <v>3.3087569084211378E-2</v>
      </c>
      <c r="G121">
        <v>0</v>
      </c>
      <c r="H121">
        <v>0</v>
      </c>
      <c r="I121">
        <v>1.8784786462783809</v>
      </c>
      <c r="J121">
        <v>0.12708319135552501</v>
      </c>
      <c r="K121">
        <v>869</v>
      </c>
      <c r="M121">
        <f t="shared" si="5"/>
        <v>28.753097534179688</v>
      </c>
      <c r="N121" t="b">
        <f t="shared" si="3"/>
        <v>1</v>
      </c>
    </row>
    <row r="122" spans="1:14" x14ac:dyDescent="0.2">
      <c r="A122" t="s">
        <v>131</v>
      </c>
      <c r="B122" t="s">
        <v>307</v>
      </c>
      <c r="C122" t="s">
        <v>365</v>
      </c>
      <c r="D122">
        <v>28.637701034545898</v>
      </c>
      <c r="E122" s="3">
        <v>2863.7701034545898</v>
      </c>
      <c r="F122">
        <v>1.1104188070781659E-2</v>
      </c>
      <c r="G122">
        <v>1.4257159782573581E-3</v>
      </c>
      <c r="H122">
        <v>0</v>
      </c>
      <c r="I122">
        <v>0.64606690406799316</v>
      </c>
      <c r="J122">
        <v>4.8644771554191828E-2</v>
      </c>
      <c r="K122">
        <v>2579</v>
      </c>
      <c r="M122">
        <f t="shared" si="5"/>
        <v>28.637701034545898</v>
      </c>
      <c r="N122" t="b">
        <f t="shared" si="3"/>
        <v>1</v>
      </c>
    </row>
    <row r="123" spans="1:14" x14ac:dyDescent="0.2">
      <c r="A123" t="s">
        <v>132</v>
      </c>
      <c r="B123" t="s">
        <v>308</v>
      </c>
      <c r="C123" t="s">
        <v>361</v>
      </c>
      <c r="D123">
        <v>28.14871978759766</v>
      </c>
      <c r="E123" s="3">
        <v>2814.8719787597661</v>
      </c>
      <c r="F123">
        <v>2.4998863044047651E-2</v>
      </c>
      <c r="G123">
        <v>1.2747153639793399E-2</v>
      </c>
      <c r="H123">
        <v>1.1676853318931529E-4</v>
      </c>
      <c r="I123">
        <v>0.27781397104263311</v>
      </c>
      <c r="J123">
        <v>3.4376408830201557E-2</v>
      </c>
      <c r="K123">
        <v>1126</v>
      </c>
      <c r="M123">
        <f t="shared" si="5"/>
        <v>28.148719787597656</v>
      </c>
      <c r="N123" t="b">
        <f t="shared" si="3"/>
        <v>1</v>
      </c>
    </row>
    <row r="124" spans="1:14" x14ac:dyDescent="0.2">
      <c r="A124" t="s">
        <v>133</v>
      </c>
      <c r="B124" t="s">
        <v>309</v>
      </c>
      <c r="C124" t="s">
        <v>361</v>
      </c>
      <c r="D124">
        <v>28.13676643371582</v>
      </c>
      <c r="E124" s="3">
        <v>2813.676643371582</v>
      </c>
      <c r="F124">
        <v>1.1013295143931349E-3</v>
      </c>
      <c r="G124">
        <v>4.6941913751652457E-5</v>
      </c>
      <c r="H124">
        <v>0</v>
      </c>
      <c r="I124">
        <v>9.1745540499687195E-2</v>
      </c>
      <c r="J124">
        <v>3.5430225539620349E-3</v>
      </c>
      <c r="K124">
        <v>25548</v>
      </c>
      <c r="M124">
        <f t="shared" si="5"/>
        <v>28.13676643371581</v>
      </c>
      <c r="N124" t="b">
        <f t="shared" si="3"/>
        <v>1</v>
      </c>
    </row>
    <row r="125" spans="1:14" x14ac:dyDescent="0.2">
      <c r="A125" t="s">
        <v>134</v>
      </c>
      <c r="B125" t="s">
        <v>310</v>
      </c>
      <c r="C125" t="s">
        <v>363</v>
      </c>
      <c r="D125">
        <v>27.965396881103519</v>
      </c>
      <c r="E125" s="3">
        <v>2796.539688110352</v>
      </c>
      <c r="F125">
        <v>3.571844187434991E-4</v>
      </c>
      <c r="G125">
        <v>0</v>
      </c>
      <c r="H125">
        <v>0</v>
      </c>
      <c r="I125">
        <v>2.8002951145172119</v>
      </c>
      <c r="J125">
        <v>1.734297192843574E-2</v>
      </c>
      <c r="K125">
        <v>78294</v>
      </c>
      <c r="M125">
        <f t="shared" si="5"/>
        <v>27.965396881103519</v>
      </c>
      <c r="N125" t="b">
        <f t="shared" si="3"/>
        <v>1</v>
      </c>
    </row>
    <row r="126" spans="1:14" x14ac:dyDescent="0.2">
      <c r="A126" t="s">
        <v>135</v>
      </c>
      <c r="B126" t="s">
        <v>311</v>
      </c>
      <c r="C126" t="s">
        <v>365</v>
      </c>
      <c r="D126">
        <v>26.42315673828125</v>
      </c>
      <c r="E126" s="3">
        <v>2642.315673828125</v>
      </c>
      <c r="F126">
        <v>7.654448649560038E-3</v>
      </c>
      <c r="G126">
        <v>1.3424420030787589E-3</v>
      </c>
      <c r="H126">
        <v>0</v>
      </c>
      <c r="I126">
        <v>4.3674545288085938</v>
      </c>
      <c r="J126">
        <v>8.866525930149799E-2</v>
      </c>
      <c r="K126">
        <v>3452</v>
      </c>
      <c r="M126">
        <f t="shared" si="5"/>
        <v>26.42315673828125</v>
      </c>
      <c r="N126" t="b">
        <f t="shared" si="3"/>
        <v>1</v>
      </c>
    </row>
    <row r="127" spans="1:14" x14ac:dyDescent="0.2">
      <c r="A127" t="s">
        <v>136</v>
      </c>
      <c r="B127" t="s">
        <v>312</v>
      </c>
      <c r="C127" t="s">
        <v>363</v>
      </c>
      <c r="D127">
        <v>25.765781402587891</v>
      </c>
      <c r="E127" s="3">
        <v>2576.5781402587891</v>
      </c>
      <c r="F127">
        <v>1.386076787486572E-3</v>
      </c>
      <c r="G127">
        <v>0</v>
      </c>
      <c r="H127">
        <v>0</v>
      </c>
      <c r="I127">
        <v>0.50465142726898193</v>
      </c>
      <c r="J127">
        <v>1.2263290914615929E-2</v>
      </c>
      <c r="K127">
        <v>18589</v>
      </c>
      <c r="M127">
        <f t="shared" si="5"/>
        <v>25.765781402587887</v>
      </c>
      <c r="N127" t="b">
        <f t="shared" si="3"/>
        <v>1</v>
      </c>
    </row>
    <row r="128" spans="1:14" x14ac:dyDescent="0.2">
      <c r="A128" t="s">
        <v>137</v>
      </c>
      <c r="B128" t="s">
        <v>313</v>
      </c>
      <c r="C128" t="s">
        <v>363</v>
      </c>
      <c r="D128">
        <v>24.700265884399411</v>
      </c>
      <c r="E128" s="3">
        <v>2470.026588439941</v>
      </c>
      <c r="F128">
        <v>3.1900123833655449E-3</v>
      </c>
      <c r="G128">
        <v>6.0198816936463118E-4</v>
      </c>
      <c r="H128">
        <v>0</v>
      </c>
      <c r="I128">
        <v>0.31948933005332952</v>
      </c>
      <c r="J128">
        <v>1.816316870585253E-2</v>
      </c>
      <c r="K128">
        <v>7743</v>
      </c>
      <c r="M128">
        <f t="shared" si="5"/>
        <v>24.700265884399414</v>
      </c>
      <c r="N128" t="b">
        <f t="shared" si="3"/>
        <v>1</v>
      </c>
    </row>
    <row r="129" spans="1:14" x14ac:dyDescent="0.2">
      <c r="A129" t="s">
        <v>138</v>
      </c>
      <c r="B129" t="s">
        <v>314</v>
      </c>
      <c r="C129" t="s">
        <v>366</v>
      </c>
      <c r="D129">
        <v>23.381351470947269</v>
      </c>
      <c r="E129" s="3">
        <v>2338.135147094727</v>
      </c>
      <c r="F129">
        <v>8.5333399529004622E-2</v>
      </c>
      <c r="G129">
        <v>5.0707506015896797E-3</v>
      </c>
      <c r="H129">
        <v>0</v>
      </c>
      <c r="I129">
        <v>1.033210396766663</v>
      </c>
      <c r="J129">
        <v>0.17476581554116541</v>
      </c>
      <c r="K129">
        <v>274</v>
      </c>
      <c r="M129">
        <f t="shared" si="5"/>
        <v>23.381351470947266</v>
      </c>
      <c r="N129" t="b">
        <f t="shared" si="3"/>
        <v>1</v>
      </c>
    </row>
    <row r="130" spans="1:14" x14ac:dyDescent="0.2">
      <c r="A130" t="s">
        <v>139</v>
      </c>
      <c r="B130" t="s">
        <v>315</v>
      </c>
      <c r="C130" t="s">
        <v>365</v>
      </c>
      <c r="D130">
        <v>23.177032470703121</v>
      </c>
      <c r="E130" s="3">
        <v>2317.703247070312</v>
      </c>
      <c r="F130">
        <v>4.2683301051018648E-2</v>
      </c>
      <c r="G130">
        <v>7.6263293158262968E-4</v>
      </c>
      <c r="H130">
        <v>0</v>
      </c>
      <c r="I130">
        <v>3.7612624168396001</v>
      </c>
      <c r="J130">
        <v>0.33228023222746877</v>
      </c>
      <c r="K130">
        <v>543</v>
      </c>
      <c r="M130">
        <f t="shared" si="5"/>
        <v>23.177032470703125</v>
      </c>
      <c r="N130" t="b">
        <f t="shared" si="3"/>
        <v>1</v>
      </c>
    </row>
    <row r="131" spans="1:14" x14ac:dyDescent="0.2">
      <c r="A131" t="s">
        <v>140</v>
      </c>
      <c r="B131" t="s">
        <v>316</v>
      </c>
      <c r="C131" t="s">
        <v>361</v>
      </c>
      <c r="D131">
        <v>22.770845413208011</v>
      </c>
      <c r="E131" s="3">
        <v>2277.0845413208008</v>
      </c>
      <c r="F131">
        <v>2.1000503009506598E-3</v>
      </c>
      <c r="G131">
        <v>1.7315150762442499E-4</v>
      </c>
      <c r="H131">
        <v>0</v>
      </c>
      <c r="I131">
        <v>0.1807546466588974</v>
      </c>
      <c r="J131">
        <v>7.3889156326087582E-3</v>
      </c>
      <c r="K131">
        <v>10843</v>
      </c>
      <c r="M131">
        <f t="shared" si="5"/>
        <v>22.770845413208004</v>
      </c>
      <c r="N131" t="b">
        <f t="shared" ref="N131:N178" si="6">M131=D131</f>
        <v>1</v>
      </c>
    </row>
    <row r="132" spans="1:14" x14ac:dyDescent="0.2">
      <c r="A132" t="s">
        <v>141</v>
      </c>
      <c r="B132" t="s">
        <v>317</v>
      </c>
      <c r="C132" t="s">
        <v>361</v>
      </c>
      <c r="D132">
        <v>22.455476760864261</v>
      </c>
      <c r="E132" s="3">
        <v>2245.5476760864258</v>
      </c>
      <c r="F132">
        <v>4.7404426347612957E-3</v>
      </c>
      <c r="G132">
        <v>2.1982630714774132E-3</v>
      </c>
      <c r="H132">
        <v>0</v>
      </c>
      <c r="I132">
        <v>0.13554640114307401</v>
      </c>
      <c r="J132">
        <v>1.0140248613720209E-2</v>
      </c>
      <c r="K132">
        <v>4737</v>
      </c>
      <c r="M132">
        <f t="shared" si="5"/>
        <v>22.455476760864258</v>
      </c>
      <c r="N132" t="b">
        <f t="shared" si="6"/>
        <v>1</v>
      </c>
    </row>
    <row r="133" spans="1:14" x14ac:dyDescent="0.2">
      <c r="A133" t="s">
        <v>142</v>
      </c>
      <c r="B133" t="s">
        <v>318</v>
      </c>
      <c r="C133" t="s">
        <v>363</v>
      </c>
      <c r="D133">
        <v>20.508186340332031</v>
      </c>
      <c r="E133" s="3">
        <v>2050.8186340332031</v>
      </c>
      <c r="F133">
        <v>2.7202793925364152E-3</v>
      </c>
      <c r="G133">
        <v>2.2316332615446299E-4</v>
      </c>
      <c r="H133">
        <v>0</v>
      </c>
      <c r="I133">
        <v>1.2578169107437129</v>
      </c>
      <c r="J133">
        <v>2.375473451095288E-2</v>
      </c>
      <c r="K133">
        <v>7539</v>
      </c>
      <c r="M133">
        <f t="shared" si="5"/>
        <v>20.508186340332035</v>
      </c>
      <c r="N133" t="b">
        <f t="shared" si="6"/>
        <v>1</v>
      </c>
    </row>
    <row r="134" spans="1:14" x14ac:dyDescent="0.2">
      <c r="A134" t="s">
        <v>143</v>
      </c>
      <c r="B134" t="s">
        <v>319</v>
      </c>
      <c r="C134" t="s">
        <v>362</v>
      </c>
      <c r="D134">
        <v>19.73653411865234</v>
      </c>
      <c r="E134" s="3">
        <v>1973.6534118652339</v>
      </c>
      <c r="F134">
        <v>2.3056698736743389E-2</v>
      </c>
      <c r="G134">
        <v>1.058352552354336E-2</v>
      </c>
      <c r="H134">
        <v>0</v>
      </c>
      <c r="I134">
        <v>1.014772772789001</v>
      </c>
      <c r="J134">
        <v>6.2474971457811328E-2</v>
      </c>
      <c r="K134">
        <v>856</v>
      </c>
      <c r="M134">
        <f t="shared" si="5"/>
        <v>19.73653411865234</v>
      </c>
      <c r="N134" t="b">
        <f t="shared" si="6"/>
        <v>1</v>
      </c>
    </row>
    <row r="135" spans="1:14" x14ac:dyDescent="0.2">
      <c r="A135" t="s">
        <v>144</v>
      </c>
      <c r="B135" t="s">
        <v>320</v>
      </c>
      <c r="C135" t="s">
        <v>365</v>
      </c>
      <c r="D135">
        <v>19.276369094848629</v>
      </c>
      <c r="E135" s="3">
        <v>1927.6369094848631</v>
      </c>
      <c r="F135">
        <v>1.01241434321684E-2</v>
      </c>
      <c r="G135">
        <v>3.6456235684454441E-3</v>
      </c>
      <c r="H135">
        <v>0</v>
      </c>
      <c r="I135">
        <v>0.66804039478302002</v>
      </c>
      <c r="J135">
        <v>2.8323113097042819E-2</v>
      </c>
      <c r="K135">
        <v>1904</v>
      </c>
      <c r="M135">
        <f t="shared" si="5"/>
        <v>19.276369094848633</v>
      </c>
      <c r="N135" t="b">
        <f t="shared" si="6"/>
        <v>1</v>
      </c>
    </row>
    <row r="136" spans="1:14" x14ac:dyDescent="0.2">
      <c r="A136" t="s">
        <v>145</v>
      </c>
      <c r="B136" t="s">
        <v>321</v>
      </c>
      <c r="C136" t="s">
        <v>361</v>
      </c>
      <c r="D136">
        <v>18.745426177978519</v>
      </c>
      <c r="E136" s="3">
        <v>1874.542617797852</v>
      </c>
      <c r="F136">
        <v>1.350535027231882E-2</v>
      </c>
      <c r="G136">
        <v>5.6287990882992736E-3</v>
      </c>
      <c r="H136">
        <v>0</v>
      </c>
      <c r="I136">
        <v>8.6079433560371399E-2</v>
      </c>
      <c r="J136">
        <v>1.732392376851356E-2</v>
      </c>
      <c r="K136">
        <v>1388</v>
      </c>
      <c r="M136">
        <f t="shared" si="5"/>
        <v>18.745426177978523</v>
      </c>
      <c r="N136" t="b">
        <f t="shared" si="6"/>
        <v>1</v>
      </c>
    </row>
    <row r="137" spans="1:14" x14ac:dyDescent="0.2">
      <c r="A137" t="s">
        <v>146</v>
      </c>
      <c r="B137" t="s">
        <v>322</v>
      </c>
      <c r="C137" t="s">
        <v>363</v>
      </c>
      <c r="D137">
        <v>18.594955444335941</v>
      </c>
      <c r="E137" s="3">
        <v>1859.495544433594</v>
      </c>
      <c r="F137">
        <v>1.6441163080756799E-2</v>
      </c>
      <c r="G137">
        <v>2.5263659190386529E-3</v>
      </c>
      <c r="H137">
        <v>0</v>
      </c>
      <c r="I137">
        <v>2.7099037170410161</v>
      </c>
      <c r="J137">
        <v>0.13894839224083491</v>
      </c>
      <c r="K137">
        <v>1131</v>
      </c>
      <c r="M137">
        <f t="shared" si="5"/>
        <v>18.594955444335941</v>
      </c>
      <c r="N137" t="b">
        <f t="shared" si="6"/>
        <v>1</v>
      </c>
    </row>
    <row r="138" spans="1:14" x14ac:dyDescent="0.2">
      <c r="A138" t="s">
        <v>147</v>
      </c>
      <c r="B138" t="s">
        <v>323</v>
      </c>
      <c r="C138" t="s">
        <v>365</v>
      </c>
      <c r="D138">
        <v>17.25883865356445</v>
      </c>
      <c r="E138" s="3">
        <v>1725.8838653564451</v>
      </c>
      <c r="F138">
        <v>1.4135002992272281E-2</v>
      </c>
      <c r="G138">
        <v>1.7546877497807149E-3</v>
      </c>
      <c r="H138">
        <v>0</v>
      </c>
      <c r="I138">
        <v>0.91629576683044434</v>
      </c>
      <c r="J138">
        <v>7.3821547337064933E-2</v>
      </c>
      <c r="K138">
        <v>1221</v>
      </c>
      <c r="M138">
        <f t="shared" si="5"/>
        <v>17.258838653564453</v>
      </c>
      <c r="N138" t="b">
        <f t="shared" si="6"/>
        <v>0</v>
      </c>
    </row>
    <row r="139" spans="1:14" x14ac:dyDescent="0.2">
      <c r="A139" t="s">
        <v>148</v>
      </c>
      <c r="B139" t="s">
        <v>324</v>
      </c>
      <c r="C139" t="s">
        <v>363</v>
      </c>
      <c r="D139">
        <v>15.681862831115721</v>
      </c>
      <c r="E139" s="3">
        <v>1568.186283111572</v>
      </c>
      <c r="F139">
        <v>7.6125547723862735E-2</v>
      </c>
      <c r="G139">
        <v>2.7600454166531559E-2</v>
      </c>
      <c r="H139">
        <v>0</v>
      </c>
      <c r="I139">
        <v>0.51682615280151367</v>
      </c>
      <c r="J139">
        <v>0.1101597029107903</v>
      </c>
      <c r="K139">
        <v>206</v>
      </c>
      <c r="M139">
        <f t="shared" si="5"/>
        <v>15.681862831115723</v>
      </c>
      <c r="N139" t="b">
        <f t="shared" si="6"/>
        <v>1</v>
      </c>
    </row>
    <row r="140" spans="1:14" x14ac:dyDescent="0.2">
      <c r="A140" t="s">
        <v>149</v>
      </c>
      <c r="B140" t="s">
        <v>325</v>
      </c>
      <c r="C140" t="s">
        <v>363</v>
      </c>
      <c r="D140">
        <v>15.487907409667971</v>
      </c>
      <c r="E140" s="3">
        <v>1548.7907409667971</v>
      </c>
      <c r="F140">
        <v>4.3141803369548662E-2</v>
      </c>
      <c r="G140">
        <v>7.023288868367672E-3</v>
      </c>
      <c r="H140">
        <v>0</v>
      </c>
      <c r="I140">
        <v>0.33968192338943481</v>
      </c>
      <c r="J140">
        <v>6.9823465715658603E-2</v>
      </c>
      <c r="K140">
        <v>359</v>
      </c>
      <c r="M140">
        <f t="shared" si="5"/>
        <v>15.487907409667969</v>
      </c>
      <c r="N140" t="b">
        <f t="shared" si="6"/>
        <v>1</v>
      </c>
    </row>
    <row r="141" spans="1:14" x14ac:dyDescent="0.2">
      <c r="A141" t="s">
        <v>150</v>
      </c>
      <c r="B141" t="s">
        <v>326</v>
      </c>
      <c r="C141" t="s">
        <v>361</v>
      </c>
      <c r="D141">
        <v>14.7205810546875</v>
      </c>
      <c r="E141" s="3">
        <v>1472.05810546875</v>
      </c>
      <c r="F141">
        <v>5.7895780125412962E-4</v>
      </c>
      <c r="G141">
        <v>4.0987212560139602E-4</v>
      </c>
      <c r="H141">
        <v>0</v>
      </c>
      <c r="I141">
        <v>1.5681136399507519E-2</v>
      </c>
      <c r="J141">
        <v>9.7556783722545129E-4</v>
      </c>
      <c r="K141">
        <v>25426</v>
      </c>
      <c r="M141">
        <f t="shared" si="5"/>
        <v>14.7205810546875</v>
      </c>
      <c r="N141" t="b">
        <f t="shared" si="6"/>
        <v>1</v>
      </c>
    </row>
    <row r="142" spans="1:14" x14ac:dyDescent="0.2">
      <c r="A142" t="s">
        <v>151</v>
      </c>
      <c r="B142" t="s">
        <v>327</v>
      </c>
      <c r="C142" t="s">
        <v>365</v>
      </c>
      <c r="D142">
        <v>13.751594543457029</v>
      </c>
      <c r="E142" s="3">
        <v>1375.1594543457029</v>
      </c>
      <c r="F142">
        <v>4.173473306056762E-3</v>
      </c>
      <c r="G142">
        <v>2.1082872990518808E-3</v>
      </c>
      <c r="H142">
        <v>0</v>
      </c>
      <c r="I142">
        <v>0.57536864280700684</v>
      </c>
      <c r="J142">
        <v>1.6527305702018071E-2</v>
      </c>
      <c r="K142">
        <v>3295</v>
      </c>
      <c r="M142">
        <f t="shared" si="5"/>
        <v>13.751594543457031</v>
      </c>
      <c r="N142" t="b">
        <f t="shared" si="6"/>
        <v>1</v>
      </c>
    </row>
    <row r="143" spans="1:14" x14ac:dyDescent="0.2">
      <c r="A143" t="s">
        <v>152</v>
      </c>
      <c r="B143" t="s">
        <v>328</v>
      </c>
      <c r="C143" t="s">
        <v>363</v>
      </c>
      <c r="D143">
        <v>13.729684829711911</v>
      </c>
      <c r="E143" s="3">
        <v>1372.968482971191</v>
      </c>
      <c r="F143">
        <v>8.5383612125074088E-3</v>
      </c>
      <c r="G143">
        <v>3.5631228820420802E-4</v>
      </c>
      <c r="H143">
        <v>0</v>
      </c>
      <c r="I143">
        <v>0.49379420280456537</v>
      </c>
      <c r="J143">
        <v>2.8171437638784179E-2</v>
      </c>
      <c r="K143">
        <v>1608</v>
      </c>
      <c r="M143">
        <f t="shared" si="5"/>
        <v>13.729684829711914</v>
      </c>
      <c r="N143" t="b">
        <f t="shared" si="6"/>
        <v>1</v>
      </c>
    </row>
    <row r="144" spans="1:14" x14ac:dyDescent="0.2">
      <c r="A144" t="s">
        <v>153</v>
      </c>
      <c r="B144" t="s">
        <v>329</v>
      </c>
      <c r="C144" t="s">
        <v>362</v>
      </c>
      <c r="D144">
        <v>12.249513626098629</v>
      </c>
      <c r="E144" s="3">
        <v>1224.9513626098631</v>
      </c>
      <c r="F144">
        <v>1.362571037385832E-2</v>
      </c>
      <c r="G144">
        <v>1.8123654881492259E-3</v>
      </c>
      <c r="H144">
        <v>0</v>
      </c>
      <c r="I144">
        <v>0.35763120651245123</v>
      </c>
      <c r="J144">
        <v>2.88526992662013E-2</v>
      </c>
      <c r="K144">
        <v>899</v>
      </c>
      <c r="M144">
        <f t="shared" si="5"/>
        <v>12.249513626098629</v>
      </c>
      <c r="N144" t="b">
        <f t="shared" si="6"/>
        <v>1</v>
      </c>
    </row>
    <row r="145" spans="1:14" x14ac:dyDescent="0.2">
      <c r="A145" t="s">
        <v>154</v>
      </c>
      <c r="B145" t="s">
        <v>330</v>
      </c>
      <c r="C145" t="s">
        <v>361</v>
      </c>
      <c r="D145">
        <v>10.88325309753418</v>
      </c>
      <c r="E145" s="3">
        <v>1088.325309753418</v>
      </c>
      <c r="F145">
        <v>2.539493442583111E-4</v>
      </c>
      <c r="G145">
        <v>0</v>
      </c>
      <c r="H145">
        <v>0</v>
      </c>
      <c r="I145">
        <v>2.3266877979040149E-2</v>
      </c>
      <c r="J145">
        <v>8.9144738295605095E-4</v>
      </c>
      <c r="K145">
        <v>42856</v>
      </c>
      <c r="M145">
        <f t="shared" si="5"/>
        <v>10.88325309753418</v>
      </c>
      <c r="N145" t="b">
        <f t="shared" si="6"/>
        <v>1</v>
      </c>
    </row>
    <row r="146" spans="1:14" x14ac:dyDescent="0.2">
      <c r="A146" t="s">
        <v>155</v>
      </c>
      <c r="B146" t="s">
        <v>331</v>
      </c>
      <c r="C146" t="s">
        <v>362</v>
      </c>
      <c r="D146">
        <v>10.685770988464361</v>
      </c>
      <c r="E146" s="3">
        <v>1068.577098846436</v>
      </c>
      <c r="F146">
        <v>2.1807695894825219E-2</v>
      </c>
      <c r="G146">
        <v>0</v>
      </c>
      <c r="H146">
        <v>0</v>
      </c>
      <c r="I146">
        <v>2.2549717426300049</v>
      </c>
      <c r="J146">
        <v>0.12507212447736471</v>
      </c>
      <c r="K146">
        <v>490</v>
      </c>
      <c r="M146">
        <f t="shared" si="5"/>
        <v>10.685770988464357</v>
      </c>
      <c r="N146" t="b">
        <f t="shared" si="6"/>
        <v>1</v>
      </c>
    </row>
    <row r="147" spans="1:14" x14ac:dyDescent="0.2">
      <c r="A147" t="s">
        <v>156</v>
      </c>
      <c r="B147" t="s">
        <v>332</v>
      </c>
      <c r="C147" t="s">
        <v>365</v>
      </c>
      <c r="D147">
        <v>9.1175050735473633</v>
      </c>
      <c r="E147" s="3">
        <v>911.75050735473633</v>
      </c>
      <c r="F147">
        <v>9.4033674438401022E-4</v>
      </c>
      <c r="G147">
        <v>6.6144624724984169E-4</v>
      </c>
      <c r="H147">
        <v>0</v>
      </c>
      <c r="I147">
        <v>1.8190369009971619E-2</v>
      </c>
      <c r="J147">
        <v>9.9219259615432559E-4</v>
      </c>
      <c r="K147">
        <v>9696</v>
      </c>
      <c r="M147">
        <f t="shared" si="5"/>
        <v>9.1175050735473633</v>
      </c>
      <c r="N147" t="b">
        <f t="shared" si="6"/>
        <v>1</v>
      </c>
    </row>
    <row r="148" spans="1:14" x14ac:dyDescent="0.2">
      <c r="A148" t="s">
        <v>157</v>
      </c>
      <c r="B148" t="s">
        <v>333</v>
      </c>
      <c r="C148" t="s">
        <v>361</v>
      </c>
      <c r="D148">
        <v>7.9709324836730957</v>
      </c>
      <c r="E148" s="3">
        <v>797.09324836730957</v>
      </c>
      <c r="F148">
        <v>1.071361892966814E-2</v>
      </c>
      <c r="G148">
        <v>2.8334092348814011E-3</v>
      </c>
      <c r="H148">
        <v>0</v>
      </c>
      <c r="I148">
        <v>1.0837997198104861</v>
      </c>
      <c r="J148">
        <v>5.6356469722868403E-2</v>
      </c>
      <c r="K148">
        <v>744</v>
      </c>
      <c r="M148">
        <f>K148*F148</f>
        <v>7.9709324836730966</v>
      </c>
      <c r="N148" t="b">
        <f t="shared" si="6"/>
        <v>1</v>
      </c>
    </row>
    <row r="149" spans="1:14" x14ac:dyDescent="0.2">
      <c r="A149" t="s">
        <v>158</v>
      </c>
      <c r="B149" t="s">
        <v>334</v>
      </c>
      <c r="C149" t="s">
        <v>361</v>
      </c>
      <c r="D149">
        <v>7.8151721954345703</v>
      </c>
      <c r="E149" s="3">
        <v>781.51721954345703</v>
      </c>
      <c r="F149">
        <v>1.4005684938054789E-2</v>
      </c>
      <c r="G149">
        <v>8.0636059865355492E-3</v>
      </c>
      <c r="H149">
        <v>0</v>
      </c>
      <c r="I149">
        <v>6.8354934453964233E-2</v>
      </c>
      <c r="J149">
        <v>1.525547620047357E-2</v>
      </c>
      <c r="K149">
        <v>558</v>
      </c>
      <c r="M149">
        <f t="shared" ref="M149:M178" si="7">K149*F149</f>
        <v>7.8151721954345721</v>
      </c>
      <c r="N149" t="b">
        <f t="shared" si="6"/>
        <v>1</v>
      </c>
    </row>
    <row r="150" spans="1:14" x14ac:dyDescent="0.2">
      <c r="A150" t="s">
        <v>159</v>
      </c>
      <c r="B150" t="s">
        <v>335</v>
      </c>
      <c r="C150" t="s">
        <v>361</v>
      </c>
      <c r="D150">
        <v>7.8002490997314453</v>
      </c>
      <c r="E150" s="3">
        <v>780.02490997314453</v>
      </c>
      <c r="F150">
        <v>7.684974482494035E-3</v>
      </c>
      <c r="G150">
        <v>4.8504798905923963E-4</v>
      </c>
      <c r="H150">
        <v>0</v>
      </c>
      <c r="I150">
        <v>8.4713220596313477E-2</v>
      </c>
      <c r="J150">
        <v>1.4949758385172259E-2</v>
      </c>
      <c r="K150">
        <v>1015</v>
      </c>
      <c r="M150">
        <f t="shared" si="7"/>
        <v>7.8002490997314453</v>
      </c>
      <c r="N150" t="b">
        <f t="shared" si="6"/>
        <v>1</v>
      </c>
    </row>
    <row r="151" spans="1:14" x14ac:dyDescent="0.2">
      <c r="A151" t="s">
        <v>160</v>
      </c>
      <c r="B151" t="s">
        <v>336</v>
      </c>
      <c r="C151" t="s">
        <v>365</v>
      </c>
      <c r="D151">
        <v>7.6038446426391602</v>
      </c>
      <c r="E151" s="3">
        <v>760.38446426391602</v>
      </c>
      <c r="F151">
        <v>9.8114124421150462E-3</v>
      </c>
      <c r="G151">
        <v>1.464982982724905E-3</v>
      </c>
      <c r="H151">
        <v>0</v>
      </c>
      <c r="I151">
        <v>2.240387916564941</v>
      </c>
      <c r="J151">
        <v>9.0694083507200082E-2</v>
      </c>
      <c r="K151">
        <v>775</v>
      </c>
      <c r="M151">
        <f t="shared" si="7"/>
        <v>7.603844642639161</v>
      </c>
      <c r="N151" t="b">
        <f t="shared" si="6"/>
        <v>1</v>
      </c>
    </row>
    <row r="152" spans="1:14" x14ac:dyDescent="0.2">
      <c r="A152" t="s">
        <v>161</v>
      </c>
      <c r="B152" t="s">
        <v>337</v>
      </c>
      <c r="C152" t="s">
        <v>363</v>
      </c>
      <c r="D152">
        <v>7.4259991645812988</v>
      </c>
      <c r="E152" s="3">
        <v>742.59991645812988</v>
      </c>
      <c r="F152">
        <v>3.8432870119973599E-4</v>
      </c>
      <c r="G152">
        <v>0</v>
      </c>
      <c r="H152">
        <v>0</v>
      </c>
      <c r="I152">
        <v>1.3537604361772541E-2</v>
      </c>
      <c r="J152">
        <v>9.6726309430203385E-4</v>
      </c>
      <c r="K152">
        <v>19322</v>
      </c>
      <c r="M152">
        <f t="shared" si="7"/>
        <v>7.4259991645812988</v>
      </c>
      <c r="N152" t="b">
        <f t="shared" si="6"/>
        <v>1</v>
      </c>
    </row>
    <row r="153" spans="1:14" x14ac:dyDescent="0.2">
      <c r="A153" t="s">
        <v>162</v>
      </c>
      <c r="B153" t="s">
        <v>338</v>
      </c>
      <c r="C153" t="s">
        <v>365</v>
      </c>
      <c r="D153">
        <v>6.769294261932373</v>
      </c>
      <c r="E153" s="3">
        <v>676.9294261932373</v>
      </c>
      <c r="F153">
        <v>3.612216788651213E-3</v>
      </c>
      <c r="G153">
        <v>1.921721501275897E-3</v>
      </c>
      <c r="H153">
        <v>0</v>
      </c>
      <c r="I153">
        <v>0.22634732723236081</v>
      </c>
      <c r="J153">
        <v>1.158284044727092E-2</v>
      </c>
      <c r="K153">
        <v>1874</v>
      </c>
      <c r="M153">
        <f t="shared" si="7"/>
        <v>6.769294261932373</v>
      </c>
      <c r="N153" t="b">
        <f t="shared" si="6"/>
        <v>1</v>
      </c>
    </row>
    <row r="154" spans="1:14" x14ac:dyDescent="0.2">
      <c r="A154" t="s">
        <v>163</v>
      </c>
      <c r="B154" t="s">
        <v>339</v>
      </c>
      <c r="C154" t="s">
        <v>363</v>
      </c>
      <c r="D154">
        <v>5.7155990600585938</v>
      </c>
      <c r="E154" s="3">
        <v>571.55990600585938</v>
      </c>
      <c r="F154">
        <v>1.0199141791682E-3</v>
      </c>
      <c r="G154">
        <v>3.7299163523130119E-5</v>
      </c>
      <c r="H154">
        <v>0</v>
      </c>
      <c r="I154">
        <v>0.18878896534442899</v>
      </c>
      <c r="J154">
        <v>3.310124275293526E-3</v>
      </c>
      <c r="K154">
        <v>5604</v>
      </c>
      <c r="M154">
        <f t="shared" si="7"/>
        <v>5.7155990600585929</v>
      </c>
      <c r="N154" t="b">
        <f t="shared" si="6"/>
        <v>1</v>
      </c>
    </row>
    <row r="155" spans="1:14" x14ac:dyDescent="0.2">
      <c r="A155" t="s">
        <v>164</v>
      </c>
      <c r="B155" t="s">
        <v>340</v>
      </c>
      <c r="C155" t="s">
        <v>364</v>
      </c>
      <c r="D155">
        <v>4.5219368934631348</v>
      </c>
      <c r="E155" s="3">
        <v>452.19368934631348</v>
      </c>
      <c r="F155">
        <v>5.2733957941261049E-4</v>
      </c>
      <c r="G155">
        <v>0</v>
      </c>
      <c r="H155">
        <v>0</v>
      </c>
      <c r="I155">
        <v>1.228412270545959</v>
      </c>
      <c r="J155">
        <v>1.368207114747238E-2</v>
      </c>
      <c r="K155">
        <v>8575</v>
      </c>
      <c r="M155">
        <f t="shared" si="7"/>
        <v>4.5219368934631348</v>
      </c>
      <c r="N155" t="b">
        <f t="shared" si="6"/>
        <v>1</v>
      </c>
    </row>
    <row r="156" spans="1:14" x14ac:dyDescent="0.2">
      <c r="A156" t="s">
        <v>165</v>
      </c>
      <c r="B156" t="s">
        <v>341</v>
      </c>
      <c r="C156" t="s">
        <v>361</v>
      </c>
      <c r="D156">
        <v>3.714117050170898</v>
      </c>
      <c r="E156" s="3">
        <v>371.41170501708979</v>
      </c>
      <c r="F156">
        <v>5.580187578195133E-5</v>
      </c>
      <c r="G156">
        <v>0</v>
      </c>
      <c r="H156">
        <v>0</v>
      </c>
      <c r="I156">
        <v>3.0322598293423649E-2</v>
      </c>
      <c r="J156">
        <v>7.1210831550591776E-4</v>
      </c>
      <c r="K156">
        <v>66559</v>
      </c>
      <c r="M156">
        <f t="shared" si="7"/>
        <v>3.7141170501708984</v>
      </c>
      <c r="N156" t="b">
        <f t="shared" si="6"/>
        <v>1</v>
      </c>
    </row>
    <row r="157" spans="1:14" x14ac:dyDescent="0.2">
      <c r="A157" t="s">
        <v>166</v>
      </c>
      <c r="B157" t="s">
        <v>342</v>
      </c>
      <c r="C157" t="s">
        <v>363</v>
      </c>
      <c r="D157">
        <v>2.6181521415710449</v>
      </c>
      <c r="E157" s="3">
        <v>261.81521415710449</v>
      </c>
      <c r="F157">
        <v>2.082526361415085E-4</v>
      </c>
      <c r="G157">
        <v>0</v>
      </c>
      <c r="H157">
        <v>0</v>
      </c>
      <c r="I157">
        <v>6.566222757101059E-2</v>
      </c>
      <c r="J157">
        <v>1.517812145734713E-3</v>
      </c>
      <c r="K157">
        <v>12572</v>
      </c>
      <c r="M157">
        <f t="shared" si="7"/>
        <v>2.6181521415710449</v>
      </c>
      <c r="N157" t="b">
        <f t="shared" si="6"/>
        <v>1</v>
      </c>
    </row>
    <row r="158" spans="1:14" x14ac:dyDescent="0.2">
      <c r="A158" t="s">
        <v>167</v>
      </c>
      <c r="B158" t="s">
        <v>343</v>
      </c>
      <c r="C158" t="s">
        <v>365</v>
      </c>
      <c r="D158">
        <v>2.0595567226409912</v>
      </c>
      <c r="E158" s="3">
        <v>205.95567226409909</v>
      </c>
      <c r="F158">
        <v>1.1459170548272361E-4</v>
      </c>
      <c r="G158">
        <v>0</v>
      </c>
      <c r="H158">
        <v>0</v>
      </c>
      <c r="I158">
        <v>1.560143660753965E-2</v>
      </c>
      <c r="J158">
        <v>4.3980894579756112E-4</v>
      </c>
      <c r="K158">
        <v>17973</v>
      </c>
      <c r="M158">
        <f t="shared" si="7"/>
        <v>2.0595567226409912</v>
      </c>
      <c r="N158" t="b">
        <f t="shared" si="6"/>
        <v>1</v>
      </c>
    </row>
    <row r="159" spans="1:14" x14ac:dyDescent="0.2">
      <c r="A159" t="s">
        <v>168</v>
      </c>
      <c r="B159" t="s">
        <v>344</v>
      </c>
      <c r="C159" t="s">
        <v>363</v>
      </c>
      <c r="D159">
        <v>1.913562059402466</v>
      </c>
      <c r="E159" s="3">
        <v>191.35620594024661</v>
      </c>
      <c r="F159">
        <v>5.2890051393102979E-4</v>
      </c>
      <c r="G159">
        <v>0</v>
      </c>
      <c r="H159">
        <v>0</v>
      </c>
      <c r="I159">
        <v>0.28092110157012939</v>
      </c>
      <c r="J159">
        <v>7.1480392739422163E-3</v>
      </c>
      <c r="K159">
        <v>3618</v>
      </c>
      <c r="M159">
        <f t="shared" si="7"/>
        <v>1.9135620594024658</v>
      </c>
      <c r="N159" t="b">
        <f t="shared" si="6"/>
        <v>1</v>
      </c>
    </row>
    <row r="160" spans="1:14" x14ac:dyDescent="0.2">
      <c r="A160" t="s">
        <v>169</v>
      </c>
      <c r="B160" t="s">
        <v>247</v>
      </c>
      <c r="C160" t="s">
        <v>365</v>
      </c>
      <c r="D160">
        <v>1.8467493057250981</v>
      </c>
      <c r="E160" s="3">
        <v>184.67493057250979</v>
      </c>
      <c r="F160">
        <v>1.192528287307954E-4</v>
      </c>
      <c r="G160">
        <v>0</v>
      </c>
      <c r="H160">
        <v>0</v>
      </c>
      <c r="I160">
        <v>1.5945633873343471E-2</v>
      </c>
      <c r="J160">
        <v>4.7019082819777191E-4</v>
      </c>
      <c r="K160">
        <v>15486</v>
      </c>
      <c r="M160">
        <f t="shared" si="7"/>
        <v>1.8467493057250977</v>
      </c>
      <c r="N160" t="b">
        <f t="shared" si="6"/>
        <v>1</v>
      </c>
    </row>
    <row r="161" spans="1:14" x14ac:dyDescent="0.2">
      <c r="A161" t="s">
        <v>170</v>
      </c>
      <c r="B161" t="s">
        <v>345</v>
      </c>
      <c r="C161" t="s">
        <v>365</v>
      </c>
      <c r="D161">
        <v>1.7205749750137329</v>
      </c>
      <c r="E161" s="3">
        <v>172.05749750137329</v>
      </c>
      <c r="F161">
        <v>1.700172900211199E-3</v>
      </c>
      <c r="G161">
        <v>1.3120160438120369E-3</v>
      </c>
      <c r="H161">
        <v>1.049630554916803E-5</v>
      </c>
      <c r="I161">
        <v>0.17215791344642639</v>
      </c>
      <c r="J161">
        <v>5.5748377050393793E-3</v>
      </c>
      <c r="K161">
        <v>1012</v>
      </c>
      <c r="M161">
        <f t="shared" si="7"/>
        <v>1.7205749750137334</v>
      </c>
      <c r="N161" t="b">
        <f t="shared" si="6"/>
        <v>1</v>
      </c>
    </row>
    <row r="162" spans="1:14" x14ac:dyDescent="0.2">
      <c r="A162" t="s">
        <v>171</v>
      </c>
      <c r="B162" t="s">
        <v>346</v>
      </c>
      <c r="C162" t="s">
        <v>365</v>
      </c>
      <c r="D162">
        <v>1.387658476829529</v>
      </c>
      <c r="E162" s="3">
        <v>138.76584768295291</v>
      </c>
      <c r="F162">
        <v>3.3365195403451038E-4</v>
      </c>
      <c r="G162">
        <v>0</v>
      </c>
      <c r="H162">
        <v>0</v>
      </c>
      <c r="I162">
        <v>8.4927499294281006E-2</v>
      </c>
      <c r="J162">
        <v>3.1302474833897359E-3</v>
      </c>
      <c r="K162">
        <v>4159</v>
      </c>
      <c r="M162">
        <f t="shared" si="7"/>
        <v>1.3876584768295286</v>
      </c>
      <c r="N162" t="b">
        <f t="shared" si="6"/>
        <v>1</v>
      </c>
    </row>
    <row r="163" spans="1:14" x14ac:dyDescent="0.2">
      <c r="A163" t="s">
        <v>172</v>
      </c>
      <c r="B163" t="s">
        <v>347</v>
      </c>
      <c r="C163" t="s">
        <v>365</v>
      </c>
      <c r="D163">
        <v>1.245302796363831</v>
      </c>
      <c r="E163" s="3">
        <v>124.5302796363831</v>
      </c>
      <c r="F163">
        <v>5.2722387652998754E-4</v>
      </c>
      <c r="G163">
        <v>3.295935457572341E-4</v>
      </c>
      <c r="H163">
        <v>0</v>
      </c>
      <c r="I163">
        <v>5.1628164947032928E-3</v>
      </c>
      <c r="J163">
        <v>6.62467758490349E-4</v>
      </c>
      <c r="K163">
        <v>2362</v>
      </c>
      <c r="M163">
        <f t="shared" si="7"/>
        <v>1.2453027963638306</v>
      </c>
      <c r="N163" t="b">
        <f t="shared" si="6"/>
        <v>1</v>
      </c>
    </row>
    <row r="164" spans="1:14" x14ac:dyDescent="0.2">
      <c r="A164" t="s">
        <v>173</v>
      </c>
      <c r="B164" t="s">
        <v>348</v>
      </c>
      <c r="C164" t="s">
        <v>363</v>
      </c>
      <c r="D164">
        <v>1.189252614974976</v>
      </c>
      <c r="E164" s="3">
        <v>118.9252614974976</v>
      </c>
      <c r="F164">
        <v>3.6841778654739021E-4</v>
      </c>
      <c r="G164">
        <v>0</v>
      </c>
      <c r="H164">
        <v>0</v>
      </c>
      <c r="I164">
        <v>0.1088412925601006</v>
      </c>
      <c r="J164">
        <v>3.5825919953239951E-3</v>
      </c>
      <c r="K164">
        <v>3228</v>
      </c>
      <c r="M164">
        <f t="shared" si="7"/>
        <v>1.1892526149749756</v>
      </c>
      <c r="N164" t="b">
        <f t="shared" si="6"/>
        <v>1</v>
      </c>
    </row>
    <row r="165" spans="1:14" x14ac:dyDescent="0.2">
      <c r="A165" t="s">
        <v>174</v>
      </c>
      <c r="B165" t="s">
        <v>349</v>
      </c>
      <c r="C165" t="s">
        <v>365</v>
      </c>
      <c r="D165">
        <v>1.030978322029114</v>
      </c>
      <c r="E165" s="3">
        <v>103.09783220291141</v>
      </c>
      <c r="F165">
        <v>6.2445688796433304E-4</v>
      </c>
      <c r="G165">
        <v>5.9822044568136334E-4</v>
      </c>
      <c r="H165">
        <v>0</v>
      </c>
      <c r="I165">
        <v>4.8654158599674702E-3</v>
      </c>
      <c r="J165">
        <v>4.5520987905800351E-4</v>
      </c>
      <c r="K165">
        <v>1651</v>
      </c>
      <c r="M165">
        <f t="shared" si="7"/>
        <v>1.0309783220291138</v>
      </c>
      <c r="N165" t="b">
        <f t="shared" si="6"/>
        <v>1</v>
      </c>
    </row>
    <row r="166" spans="1:14" x14ac:dyDescent="0.2">
      <c r="A166" t="s">
        <v>175</v>
      </c>
      <c r="B166" t="s">
        <v>350</v>
      </c>
      <c r="C166" t="s">
        <v>364</v>
      </c>
      <c r="D166">
        <v>0.97809416055679321</v>
      </c>
      <c r="E166" s="3">
        <v>97.809416055679321</v>
      </c>
      <c r="F166">
        <v>1.6622946304500219E-4</v>
      </c>
      <c r="G166">
        <v>0</v>
      </c>
      <c r="H166">
        <v>0</v>
      </c>
      <c r="I166">
        <v>5.7380843907594681E-2</v>
      </c>
      <c r="J166">
        <v>1.718397126576875E-3</v>
      </c>
      <c r="K166">
        <v>5884</v>
      </c>
      <c r="M166">
        <f t="shared" si="7"/>
        <v>0.97809416055679288</v>
      </c>
      <c r="N166" t="b">
        <f t="shared" si="6"/>
        <v>1</v>
      </c>
    </row>
    <row r="167" spans="1:14" x14ac:dyDescent="0.2">
      <c r="A167" t="s">
        <v>176</v>
      </c>
      <c r="B167" t="s">
        <v>351</v>
      </c>
      <c r="C167" t="s">
        <v>363</v>
      </c>
      <c r="D167">
        <v>0.75520539283752441</v>
      </c>
      <c r="E167" s="3">
        <v>75.520539283752441</v>
      </c>
      <c r="F167">
        <v>3.0699406212907491E-3</v>
      </c>
      <c r="G167">
        <v>7.5943849515169859E-4</v>
      </c>
      <c r="H167">
        <v>0</v>
      </c>
      <c r="I167">
        <v>3.6322448402643197E-2</v>
      </c>
      <c r="J167">
        <v>5.4504900114379128E-3</v>
      </c>
      <c r="K167">
        <v>246</v>
      </c>
      <c r="M167">
        <f t="shared" si="7"/>
        <v>0.7552053928375243</v>
      </c>
      <c r="N167" t="b">
        <f t="shared" si="6"/>
        <v>1</v>
      </c>
    </row>
    <row r="168" spans="1:14" x14ac:dyDescent="0.2">
      <c r="A168" t="s">
        <v>177</v>
      </c>
      <c r="B168" t="s">
        <v>352</v>
      </c>
      <c r="C168" t="s">
        <v>361</v>
      </c>
      <c r="D168">
        <v>0.60621130466461182</v>
      </c>
      <c r="E168" s="3">
        <v>60.621130466461182</v>
      </c>
      <c r="F168">
        <v>6.8344002780677772E-4</v>
      </c>
      <c r="G168">
        <v>4.8504798905923963E-4</v>
      </c>
      <c r="H168">
        <v>0</v>
      </c>
      <c r="I168">
        <v>2.520923130214214E-2</v>
      </c>
      <c r="J168">
        <v>1.5172923608984569E-3</v>
      </c>
      <c r="K168">
        <v>887</v>
      </c>
      <c r="M168">
        <f t="shared" si="7"/>
        <v>0.60621130466461182</v>
      </c>
      <c r="N168" t="b">
        <f t="shared" si="6"/>
        <v>1</v>
      </c>
    </row>
    <row r="169" spans="1:14" x14ac:dyDescent="0.2">
      <c r="A169" t="s">
        <v>178</v>
      </c>
      <c r="B169" t="s">
        <v>247</v>
      </c>
      <c r="C169" t="s">
        <v>365</v>
      </c>
      <c r="D169">
        <v>0.60482990741729736</v>
      </c>
      <c r="E169" s="3">
        <v>60.482990741729743</v>
      </c>
      <c r="F169">
        <v>1.326381375915126E-3</v>
      </c>
      <c r="G169">
        <v>1.2922205496579411E-3</v>
      </c>
      <c r="H169">
        <v>0</v>
      </c>
      <c r="I169">
        <v>6.3849892467260361E-3</v>
      </c>
      <c r="J169">
        <v>8.4268864273920265E-4</v>
      </c>
      <c r="K169">
        <v>456</v>
      </c>
      <c r="M169">
        <f t="shared" si="7"/>
        <v>0.60482990741729747</v>
      </c>
      <c r="N169" t="b">
        <f t="shared" si="6"/>
        <v>1</v>
      </c>
    </row>
    <row r="170" spans="1:14" x14ac:dyDescent="0.2">
      <c r="A170" t="s">
        <v>179</v>
      </c>
      <c r="B170" t="s">
        <v>247</v>
      </c>
      <c r="C170" t="s">
        <v>363</v>
      </c>
      <c r="D170">
        <v>0.36562621593475342</v>
      </c>
      <c r="E170" s="3">
        <v>36.562621593475342</v>
      </c>
      <c r="F170">
        <v>2.4375081062316889E-3</v>
      </c>
      <c r="G170">
        <v>9.8135229200124741E-4</v>
      </c>
      <c r="H170">
        <v>0</v>
      </c>
      <c r="I170">
        <v>2.4453286081552509E-2</v>
      </c>
      <c r="J170">
        <v>3.6167876553831789E-3</v>
      </c>
      <c r="K170">
        <v>150</v>
      </c>
      <c r="M170">
        <f t="shared" si="7"/>
        <v>0.36562621593475336</v>
      </c>
      <c r="N170" t="b">
        <f t="shared" si="6"/>
        <v>1</v>
      </c>
    </row>
    <row r="171" spans="1:14" x14ac:dyDescent="0.2">
      <c r="A171" t="s">
        <v>180</v>
      </c>
      <c r="B171" t="s">
        <v>353</v>
      </c>
      <c r="C171" t="s">
        <v>363</v>
      </c>
      <c r="D171">
        <v>0.35195910930633539</v>
      </c>
      <c r="E171" s="3">
        <v>35.195910930633538</v>
      </c>
      <c r="F171">
        <v>5.3246461317146062E-4</v>
      </c>
      <c r="G171">
        <v>0</v>
      </c>
      <c r="H171">
        <v>0</v>
      </c>
      <c r="I171">
        <v>9.232059121131897E-2</v>
      </c>
      <c r="J171">
        <v>5.5289616815964388E-3</v>
      </c>
      <c r="K171">
        <v>661</v>
      </c>
      <c r="M171">
        <f t="shared" si="7"/>
        <v>0.35195910930633545</v>
      </c>
      <c r="N171" t="b">
        <f t="shared" si="6"/>
        <v>1</v>
      </c>
    </row>
    <row r="172" spans="1:14" x14ac:dyDescent="0.2">
      <c r="A172" t="s">
        <v>181</v>
      </c>
      <c r="B172" t="s">
        <v>354</v>
      </c>
      <c r="C172" t="s">
        <v>361</v>
      </c>
      <c r="D172">
        <v>0.30746555328369141</v>
      </c>
      <c r="E172" s="3">
        <v>30.746555328369141</v>
      </c>
      <c r="F172">
        <v>7.7408246043225427E-5</v>
      </c>
      <c r="G172">
        <v>0</v>
      </c>
      <c r="H172">
        <v>0</v>
      </c>
      <c r="I172">
        <v>2.235994616057724E-4</v>
      </c>
      <c r="J172">
        <v>1.063746005812665E-4</v>
      </c>
      <c r="K172">
        <v>3972</v>
      </c>
      <c r="M172">
        <f t="shared" si="7"/>
        <v>0.30746555328369141</v>
      </c>
      <c r="N172" t="b">
        <f t="shared" si="6"/>
        <v>1</v>
      </c>
    </row>
    <row r="173" spans="1:14" x14ac:dyDescent="0.2">
      <c r="A173" t="s">
        <v>182</v>
      </c>
      <c r="B173" t="s">
        <v>355</v>
      </c>
      <c r="C173" t="s">
        <v>365</v>
      </c>
      <c r="D173">
        <v>0.13601931929588321</v>
      </c>
      <c r="E173" s="3">
        <v>13.60193192958832</v>
      </c>
      <c r="F173">
        <v>1.431782308377718E-3</v>
      </c>
      <c r="G173">
        <v>1.3929172419011591E-3</v>
      </c>
      <c r="H173">
        <v>1.4321328490041199E-4</v>
      </c>
      <c r="I173">
        <v>3.1401440501213069E-3</v>
      </c>
      <c r="J173">
        <v>5.6925000084452702E-4</v>
      </c>
      <c r="K173">
        <v>95</v>
      </c>
      <c r="M173">
        <f t="shared" si="7"/>
        <v>0.13601931929588321</v>
      </c>
      <c r="N173" t="b">
        <f t="shared" si="6"/>
        <v>1</v>
      </c>
    </row>
    <row r="174" spans="1:14" x14ac:dyDescent="0.2">
      <c r="A174" t="s">
        <v>183</v>
      </c>
      <c r="B174" t="s">
        <v>356</v>
      </c>
      <c r="C174" t="s">
        <v>367</v>
      </c>
      <c r="D174">
        <v>4.5514367520809167E-2</v>
      </c>
      <c r="E174" s="3">
        <v>4.5514367520809174</v>
      </c>
      <c r="F174">
        <v>1.094095373096374E-4</v>
      </c>
      <c r="G174">
        <v>0</v>
      </c>
      <c r="H174">
        <v>0</v>
      </c>
      <c r="I174">
        <v>1.0546569712460039E-2</v>
      </c>
      <c r="J174">
        <v>9.3949387714315467E-4</v>
      </c>
      <c r="K174">
        <v>416</v>
      </c>
      <c r="M174">
        <f t="shared" si="7"/>
        <v>4.551436752080916E-2</v>
      </c>
      <c r="N174" t="b">
        <f t="shared" si="6"/>
        <v>1</v>
      </c>
    </row>
    <row r="175" spans="1:14" x14ac:dyDescent="0.2">
      <c r="A175" t="s">
        <v>184</v>
      </c>
      <c r="B175" t="s">
        <v>357</v>
      </c>
      <c r="C175" t="s">
        <v>363</v>
      </c>
      <c r="D175">
        <v>2.7225924655795101E-2</v>
      </c>
      <c r="E175" s="3">
        <v>2.7225924655795102</v>
      </c>
      <c r="F175">
        <v>6.0101378931115008E-5</v>
      </c>
      <c r="G175">
        <v>0</v>
      </c>
      <c r="H175">
        <v>0</v>
      </c>
      <c r="I175">
        <v>1.485549961216748E-3</v>
      </c>
      <c r="J175">
        <v>1.5622205592539739E-4</v>
      </c>
      <c r="K175">
        <v>453</v>
      </c>
      <c r="M175">
        <f t="shared" si="7"/>
        <v>2.7225924655795097E-2</v>
      </c>
      <c r="N175" t="b">
        <f t="shared" si="6"/>
        <v>1</v>
      </c>
    </row>
    <row r="176" spans="1:14" x14ac:dyDescent="0.2">
      <c r="A176" t="s">
        <v>185</v>
      </c>
      <c r="B176" t="s">
        <v>358</v>
      </c>
      <c r="C176" t="s">
        <v>364</v>
      </c>
      <c r="D176">
        <v>6.2760910950601101E-3</v>
      </c>
      <c r="E176" s="3">
        <v>0.62760910950601101</v>
      </c>
      <c r="F176">
        <v>1.103003707391935E-5</v>
      </c>
      <c r="G176">
        <v>0</v>
      </c>
      <c r="H176">
        <v>0</v>
      </c>
      <c r="I176">
        <v>1.6085467068478469E-3</v>
      </c>
      <c r="J176">
        <v>1.2512313756437801E-4</v>
      </c>
      <c r="K176">
        <v>569</v>
      </c>
      <c r="M176">
        <f t="shared" si="7"/>
        <v>6.2760910950601101E-3</v>
      </c>
      <c r="N176" t="b">
        <f t="shared" si="6"/>
        <v>1</v>
      </c>
    </row>
    <row r="177" spans="1:14" x14ac:dyDescent="0.2">
      <c r="A177" t="s">
        <v>186</v>
      </c>
      <c r="B177" t="s">
        <v>359</v>
      </c>
      <c r="C177" t="s">
        <v>362</v>
      </c>
      <c r="D177">
        <v>9.2653077444992959E-5</v>
      </c>
      <c r="E177" s="3">
        <v>9.2653077444992959E-3</v>
      </c>
      <c r="F177">
        <v>1.046679064233266E-9</v>
      </c>
      <c r="G177">
        <v>0</v>
      </c>
      <c r="H177">
        <v>0</v>
      </c>
      <c r="I177">
        <v>1.8338658264838159E-5</v>
      </c>
      <c r="J177">
        <v>1.1118140973054419E-7</v>
      </c>
      <c r="K177">
        <v>88521</v>
      </c>
      <c r="M177">
        <f t="shared" si="7"/>
        <v>9.2653077444992946E-5</v>
      </c>
      <c r="N177" t="b">
        <f t="shared" si="6"/>
        <v>0</v>
      </c>
    </row>
    <row r="178" spans="1:14" x14ac:dyDescent="0.2">
      <c r="A178" t="s">
        <v>187</v>
      </c>
      <c r="B178" t="s">
        <v>360</v>
      </c>
      <c r="C178" t="s">
        <v>187</v>
      </c>
      <c r="D178">
        <v>0</v>
      </c>
      <c r="E178" s="3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124671</v>
      </c>
      <c r="M178">
        <f t="shared" si="7"/>
        <v>0</v>
      </c>
      <c r="N178" t="b">
        <f t="shared" si="6"/>
        <v>1</v>
      </c>
    </row>
  </sheetData>
  <autoFilter ref="A1:K1" xr:uid="{00000000-0001-0000-0000-000000000000}">
    <sortState xmlns:xlrd2="http://schemas.microsoft.com/office/spreadsheetml/2017/richdata2" ref="A2:K178">
      <sortCondition descending="1" ref="E1:E1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Wildgruber, Katharina</cp:lastModifiedBy>
  <dcterms:created xsi:type="dcterms:W3CDTF">2025-09-01T10:44:14Z</dcterms:created>
  <dcterms:modified xsi:type="dcterms:W3CDTF">2025-09-09T07:51:49Z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2025-09-01T10:49:44Z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c289fa94-a2dd-4900-9f77-6320063a9d58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50, 3, 0, 1</vt:lpwstr>
  </property>
</Properties>
</file>